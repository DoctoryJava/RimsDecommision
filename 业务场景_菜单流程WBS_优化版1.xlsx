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460" windowHeight="14100" tabRatio="600" firstSheet="0" activeTab="1" autoFilterDateGrouping="1"/>
  </bookViews>
  <sheets>
    <sheet xmlns:r="http://schemas.openxmlformats.org/officeDocument/2006/relationships" name="菜单流程WBS" sheetId="1" state="visible" r:id="rId1"/>
    <sheet xmlns:r="http://schemas.openxmlformats.org/officeDocument/2006/relationships" name="菜单流程说明" sheetId="2" state="visible" r:id="rId2"/>
    <sheet xmlns:r="http://schemas.openxmlformats.org/officeDocument/2006/relationships" name="功能清单对照" sheetId="3" state="visible" r:id="rId3"/>
  </sheets>
  <definedNames>
    <definedName name="_xlnm._FilterDatabase" localSheetId="0" hidden="1">'菜单流程WBS'!$A$5:$V$46</definedName>
    <definedName name="_xlnm._FilterDatabase" localSheetId="1" hidden="1">'菜单流程说明'!$A$5:$U$154</definedName>
    <definedName name="_xlnm._FilterDatabase" localSheetId="2" hidden="1">'功能清单对照'!$A$3:$H$111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6">
    <font>
      <name val="宋体"/>
      <charset val="134"/>
      <color theme="1"/>
      <sz val="11"/>
      <scheme val="minor"/>
    </font>
    <font>
      <name val="宋体"/>
      <charset val="134"/>
      <b val="1"/>
      <sz val="13"/>
      <scheme val="minor"/>
    </font>
    <font>
      <name val="宋体"/>
      <charset val="134"/>
      <i val="1"/>
      <color rgb="FF808080"/>
      <sz val="11"/>
      <scheme val="minor"/>
    </font>
    <font>
      <name val="宋体"/>
      <charset val="134"/>
      <b val="1"/>
      <sz val="11"/>
      <scheme val="minor"/>
    </font>
    <font>
      <name val="Microsoft YaHei"/>
      <charset val="134"/>
      <b val="1"/>
      <color rgb="FF0F172A"/>
      <sz val="14"/>
    </font>
    <font>
      <name val="Microsoft YaHei"/>
      <charset val="134"/>
      <color rgb="FFB45309"/>
      <sz val="9"/>
    </font>
    <font>
      <name val="Microsoft YaHei"/>
      <charset val="134"/>
      <b val="1"/>
      <color rgb="FFFFFFFF"/>
      <sz val="9.5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1E40AF"/>
      <sz val="8.800000000000001"/>
    </font>
    <font>
      <name val="Microsoft YaHei"/>
      <charset val="134"/>
      <color rgb="FF475569"/>
      <sz val="8.5"/>
    </font>
    <font>
      <name val="Microsoft YaHei"/>
      <charset val="134"/>
      <b val="1"/>
      <color rgb="FF0F172A"/>
      <sz val="8.800000000000001"/>
    </font>
    <font>
      <name val="Microsoft YaHei"/>
      <charset val="134"/>
      <color rgb="FF475569"/>
      <sz val="8.199999999999999"/>
    </font>
    <font>
      <name val="Microsoft YaHei"/>
      <charset val="134"/>
      <color rgb="FF0F172A"/>
      <sz val="8.800000000000001"/>
    </font>
    <font>
      <name val="Microsoft YaHei"/>
      <charset val="134"/>
      <color rgb="FF64748B"/>
      <sz val="7.8"/>
    </font>
    <font>
      <name val="Microsoft YaHei"/>
      <charset val="134"/>
      <b val="1"/>
      <color rgb="FF065F46"/>
      <sz val="8.800000000000001"/>
    </font>
    <font>
      <name val="Microsoft YaHei"/>
      <charset val="134"/>
      <b val="1"/>
      <color rgb="FF64748B"/>
      <sz val="8.800000000000001"/>
    </font>
    <font>
      <name val="Microsoft YaHei"/>
      <charset val="134"/>
      <b val="1"/>
      <color rgb="FF1E3A8A"/>
      <sz val="9.5"/>
    </font>
    <font>
      <name val="Microsoft YaHei"/>
      <charset val="134"/>
      <color rgb="FF64748B"/>
      <sz val="9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6"/>
    </font>
    <font>
      <i val="1"/>
      <color rgb="00404040"/>
    </font>
    <font>
      <color rgb="00666666"/>
    </font>
    <font>
      <b val="1"/>
      <color rgb="00FFFFFF"/>
    </font>
    <font>
      <b val="1"/>
    </font>
    <font>
      <b val="1"/>
      <color rgb="0017365D"/>
      <sz val="12"/>
    </font>
    <font>
      <b val="1"/>
      <color rgb="0017365D"/>
    </font>
  </fonts>
  <fills count="52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BD5E1"/>
      </left>
      <right style="thin">
        <color rgb="FFCBD5E1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BD5E1"/>
      </left>
      <right/>
      <top/>
      <bottom/>
      <diagonal/>
    </border>
    <border>
      <bottom style="thin">
        <color rgb="00B7C9D6"/>
      </bottom>
    </border>
    <border>
      <top style="thin">
        <color rgb="00B7C9D6"/>
      </top>
      <bottom style="thin">
        <color rgb="00B7C9D6"/>
      </bottom>
    </border>
  </borders>
  <cellStyleXfs count="49">
    <xf numFmtId="0" fontId="19" fillId="0" borderId="0"/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9" fillId="13" borderId="7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8" applyAlignment="1">
      <alignment vertical="center"/>
    </xf>
    <xf numFmtId="0" fontId="26" fillId="0" borderId="8" applyAlignment="1">
      <alignment vertical="center"/>
    </xf>
    <xf numFmtId="0" fontId="27" fillId="0" borderId="9" applyAlignment="1">
      <alignment vertical="center"/>
    </xf>
    <xf numFmtId="0" fontId="27" fillId="0" borderId="0" applyAlignment="1">
      <alignment vertical="center"/>
    </xf>
    <xf numFmtId="0" fontId="28" fillId="14" borderId="10" applyAlignment="1">
      <alignment vertical="center"/>
    </xf>
    <xf numFmtId="0" fontId="29" fillId="15" borderId="11" applyAlignment="1">
      <alignment vertical="center"/>
    </xf>
    <xf numFmtId="0" fontId="30" fillId="15" borderId="10" applyAlignment="1">
      <alignment vertical="center"/>
    </xf>
    <xf numFmtId="0" fontId="31" fillId="16" borderId="12" applyAlignment="1">
      <alignment vertical="center"/>
    </xf>
    <xf numFmtId="0" fontId="32" fillId="0" borderId="13" applyAlignment="1">
      <alignment vertical="center"/>
    </xf>
    <xf numFmtId="0" fontId="33" fillId="0" borderId="14" applyAlignment="1">
      <alignment vertical="center"/>
    </xf>
    <xf numFmtId="0" fontId="34" fillId="17" borderId="0" applyAlignment="1">
      <alignment vertical="center"/>
    </xf>
    <xf numFmtId="0" fontId="35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7" fillId="35" borderId="0" applyAlignment="1">
      <alignment vertical="center"/>
    </xf>
    <xf numFmtId="0" fontId="37" fillId="36" borderId="0" applyAlignment="1">
      <alignment vertical="center"/>
    </xf>
    <xf numFmtId="0" fontId="38" fillId="37" borderId="0" applyAlignment="1">
      <alignment vertical="center"/>
    </xf>
    <xf numFmtId="0" fontId="38" fillId="38" borderId="0" applyAlignment="1">
      <alignment vertical="center"/>
    </xf>
    <xf numFmtId="0" fontId="37" fillId="39" borderId="0" applyAlignment="1">
      <alignment vertical="center"/>
    </xf>
    <xf numFmtId="0" fontId="37" fillId="40" borderId="0" applyAlignment="1">
      <alignment vertical="center"/>
    </xf>
    <xf numFmtId="0" fontId="38" fillId="41" borderId="0" applyAlignment="1">
      <alignment vertical="center"/>
    </xf>
    <xf numFmtId="0" fontId="38" fillId="42" borderId="0" applyAlignment="1">
      <alignment vertical="center"/>
    </xf>
    <xf numFmtId="0" fontId="37" fillId="43" borderId="0" applyAlignment="1">
      <alignment vertical="center"/>
    </xf>
  </cellStyleXfs>
  <cellXfs count="6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2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left" vertical="center" wrapText="1"/>
    </xf>
    <xf numFmtId="0" fontId="11" fillId="8" borderId="3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0" fontId="11" fillId="8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left" vertical="center" wrapText="1"/>
    </xf>
    <xf numFmtId="0" fontId="14" fillId="9" borderId="3" applyAlignment="1" pivotButton="0" quotePrefix="0" xfId="0">
      <alignment horizontal="left" vertical="center" wrapText="1"/>
    </xf>
    <xf numFmtId="0" fontId="15" fillId="10" borderId="3" applyAlignment="1" pivotButton="0" quotePrefix="0" xfId="0">
      <alignment horizontal="left" vertical="center" wrapText="1"/>
    </xf>
    <xf numFmtId="0" fontId="7" fillId="11" borderId="3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18" fillId="2" borderId="0" pivotButton="0" quotePrefix="0" xfId="0"/>
    <xf numFmtId="0" fontId="39" fillId="44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0" fontId="42" fillId="44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top" wrapText="1"/>
    </xf>
    <xf numFmtId="0" fontId="42" fillId="44" borderId="16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43" fillId="45" borderId="16" applyAlignment="1" pivotButton="0" quotePrefix="0" xfId="0">
      <alignment horizontal="center" vertical="top" wrapText="1"/>
    </xf>
    <xf numFmtId="0" fontId="43" fillId="46" borderId="16" applyAlignment="1" pivotButton="0" quotePrefix="0" xfId="0">
      <alignment horizontal="center" vertical="top" wrapText="1"/>
    </xf>
    <xf numFmtId="0" fontId="42" fillId="47" borderId="16" applyAlignment="1" pivotButton="0" quotePrefix="0" xfId="0">
      <alignment vertical="top" wrapText="1"/>
    </xf>
    <xf numFmtId="0" fontId="0" fillId="48" borderId="16" applyAlignment="1" pivotButton="0" quotePrefix="0" xfId="0">
      <alignment vertical="top" wrapText="1"/>
    </xf>
    <xf numFmtId="0" fontId="42" fillId="49" borderId="16" applyAlignment="1" pivotButton="0" quotePrefix="0" xfId="0">
      <alignment vertical="top" wrapText="1"/>
    </xf>
    <xf numFmtId="0" fontId="0" fillId="50" borderId="16" applyAlignment="1" pivotButton="0" quotePrefix="0" xfId="0">
      <alignment vertical="top" wrapText="1"/>
    </xf>
    <xf numFmtId="0" fontId="42" fillId="44" borderId="17" applyAlignment="1" pivotButton="0" quotePrefix="0" xfId="0">
      <alignment horizontal="center" vertical="center" wrapText="1"/>
    </xf>
    <xf numFmtId="0" fontId="44" fillId="0" borderId="0" pivotButton="0" quotePrefix="0" xfId="0"/>
    <xf numFmtId="0" fontId="45" fillId="51" borderId="0" applyAlignment="1" pivotButton="0" quotePrefix="0" xfId="0">
      <alignment horizontal="center" wrapText="1"/>
    </xf>
    <xf numFmtId="0" fontId="39" fillId="44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42" fillId="44" borderId="0" applyAlignment="1" pivotButton="0" quotePrefix="0" xfId="0">
      <alignment horizontal="center" wrapText="1"/>
    </xf>
    <xf numFmtId="0" fontId="42" fillId="44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42" fillId="44" borderId="16" applyAlignment="1" pivotButton="0" quotePrefix="0" xfId="0">
      <alignment horizontal="center" vertical="top" wrapText="1"/>
    </xf>
    <xf numFmtId="0" fontId="42" fillId="47" borderId="16" applyAlignment="1" pivotButton="0" quotePrefix="0" xfId="0">
      <alignment horizontal="center" vertical="top" wrapText="1"/>
    </xf>
    <xf numFmtId="0" fontId="42" fillId="49" borderId="16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Manus</author>
  </authors>
  <commentList>
    <comment ref="A5" authorId="0" shapeId="0">
      <text>
        <t>WBS 按用户实际操作顺序编号；一级菜单分别为 ADMIN、End User、工程支撑。</t>
      </text>
    </comment>
    <comment ref="N5" authorId="0" shapeId="0">
      <text>
        <t>人天沿用原业务场景评估表，合计应为 120.5 人天。</t>
      </text>
    </comment>
  </commentList>
</comments>
</file>

<file path=xl/comments/comment2.xml><?xml version="1.0" encoding="utf-8"?>
<comments xmlns="http://schemas.openxmlformats.org/spreadsheetml/2006/main">
  <authors>
    <author>Manus</author>
  </authors>
  <commentList>
    <comment ref="K5" authorId="0" shapeId="0">
      <text>
        <t>依赖关系填写上游功能点或上游原子操作；“—”表示无前置依赖。</t>
      </text>
    </comment>
    <comment ref="R5" authorId="0" shapeId="0">
      <text>
        <t>拆分行按原功能展示估算，不应直接对本列求和；项目总人天请以“菜单流程WBS”中的原始功能汇总为准，避免拆分后重复计算。</t>
      </text>
    </comment>
  </commentList>
</comments>
</file>

<file path=xl/tables/table1.xml><?xml version="1.0" encoding="utf-8"?>
<table xmlns="http://schemas.openxmlformats.org/spreadsheetml/2006/main" id="1" name="MenuFlowWBS" displayName="MenuFlowWBS" ref="A5:V45" headerRowCount="1">
  <autoFilter ref="A5:V45"/>
  <tableColumns count="22">
    <tableColumn id="1" name="WBS"/>
    <tableColumn id="2" name="一级菜单"/>
    <tableColumn id="3" name="二级菜单/功能分组"/>
    <tableColumn id="4" name="步骤"/>
    <tableColumn id="5" name="角色"/>
    <tableColumn id="6" name="优先级"/>
    <tableColumn id="7" name="范围"/>
    <tableColumn id="8" name="业务场景（用户进入后的目标）"/>
    <tableColumn id="9" name="功能点"/>
    <tableColumn id="10" name="用户操作/触发条件"/>
    <tableColumn id="11" name="系统响应/验收结果"/>
    <tableColumn id="12" name="技术服务/实现层"/>
    <tableColumn id="13" name="前置任务"/>
    <tableColumn id="14" name="BA(人天)"/>
    <tableColumn id="15" name="前端(人天)"/>
    <tableColumn id="16" name="后端API(人天)"/>
    <tableColumn id="17" name="数据(人天)"/>
    <tableColumn id="18" name="QA(人天)"/>
    <tableColumn id="19" name="小计(人天)"/>
    <tableColumn id="20" name="状态"/>
    <tableColumn id="21" name="进度"/>
    <tableColumn id="22" name="技术要点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omicMenuFunctions" displayName="AtomicMenuFunctions" ref="A5:U154" headerRowCount="1">
  <autoFilter ref="A5:U154"/>
  <tableColumns count="21">
    <tableColumn id="1" name="一级菜单"/>
    <tableColumn id="2" name="二级菜单/功能分组"/>
    <tableColumn id="3" name="原步骤"/>
    <tableColumn id="4" name="功能编号"/>
    <tableColumn id="5" name="角色"/>
    <tableColumn id="6" name="优先级"/>
    <tableColumn id="7" name="范围"/>
    <tableColumn id="8" name="功能点"/>
    <tableColumn id="9" name="用户操作（原子功能）"/>
    <tableColumn id="10" name="系统响应/验收结果"/>
    <tableColumn id="11" name="依赖关系"/>
    <tableColumn id="12" name="技术服务/实现层"/>
    <tableColumn id="13" name="BA(人天)"/>
    <tableColumn id="14" name="前端(人天)"/>
    <tableColumn id="15" name="后端API(人天)"/>
    <tableColumn id="16" name="数据(人天)"/>
    <tableColumn id="17" name="QA(人天)"/>
    <tableColumn id="18" name="功能小计(人天)"/>
    <tableColumn id="19" name="状态"/>
    <tableColumn id="20" name="进度"/>
    <tableColumn id="21" name="技术要点/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8" customWidth="1" min="4" max="4"/>
    <col width="14" customWidth="1" min="5" max="5"/>
    <col width="9" customWidth="1" min="6" max="6"/>
    <col width="18" customWidth="1" min="7" max="7"/>
    <col width="38" customWidth="1" min="8" max="8"/>
    <col width="34" customWidth="1" min="9" max="9"/>
    <col width="48" customWidth="1" min="10" max="10"/>
    <col width="48" customWidth="1" min="11" max="11"/>
    <col width="34" customWidth="1" min="12" max="12"/>
    <col width="28" customWidth="1" min="13" max="13"/>
    <col width="11" customWidth="1" min="14" max="14"/>
    <col width="12" customWidth="1" min="15" max="15"/>
    <col width="13" customWidth="1" min="16" max="16"/>
    <col width="11" customWidth="1" min="17" max="17"/>
    <col width="11" customWidth="1" min="18" max="18"/>
    <col width="12" customWidth="1" min="19" max="19"/>
    <col width="11" customWidth="1" min="20" max="20"/>
    <col width="9" customWidth="1" min="21" max="21"/>
    <col width="38" customWidth="1" min="22" max="22"/>
  </cols>
  <sheetData>
    <row r="1" ht="28" customHeight="1">
      <c r="A1" s="34" t="inlineStr">
        <is>
          <t>RIMS 归档平台 Phase1 · 菜单流程 WBS（ADMIN / End User）</t>
        </is>
      </c>
    </row>
    <row r="2" ht="38" customHeight="1">
      <c r="A2" s="35" t="inlineStr">
        <is>
          <t>使用路径：ADMIN 登录 → 源系统管理 → 数据源配置 → 勾选/上传同步表 → 转换字段 → 归档执行 → Dynamic Query → 角色权限 → 日志；End User 登录 → 查询 → 列表 → 详情 → 附件预览/下载。登录统一复用 SSO，不重复计算。</t>
        </is>
      </c>
    </row>
    <row r="3" ht="28" customHeight="1">
      <c r="A3" s="36" t="inlineStr">
        <is>
          <t>说明：本表按用户进入系统后的实际操作顺序拆分，保留原评估人天口径；工程支撑不属于前端菜单，但计入项目总量。</t>
        </is>
      </c>
    </row>
    <row r="5" ht="36" customHeight="1">
      <c r="A5" s="37" t="inlineStr">
        <is>
          <t>WBS</t>
        </is>
      </c>
      <c r="B5" s="37" t="inlineStr">
        <is>
          <t>一级菜单</t>
        </is>
      </c>
      <c r="C5" s="37" t="inlineStr">
        <is>
          <t>二级菜单/功能分组</t>
        </is>
      </c>
      <c r="D5" s="37" t="inlineStr">
        <is>
          <t>步骤</t>
        </is>
      </c>
      <c r="E5" s="37" t="inlineStr">
        <is>
          <t>角色</t>
        </is>
      </c>
      <c r="F5" s="37" t="inlineStr">
        <is>
          <t>优先级</t>
        </is>
      </c>
      <c r="G5" s="37" t="inlineStr">
        <is>
          <t>范围</t>
        </is>
      </c>
      <c r="H5" s="37" t="inlineStr">
        <is>
          <t>业务场景（用户进入后的目标）</t>
        </is>
      </c>
      <c r="I5" s="37" t="inlineStr">
        <is>
          <t>功能点</t>
        </is>
      </c>
      <c r="J5" s="37" t="inlineStr">
        <is>
          <t>用户操作/触发条件</t>
        </is>
      </c>
      <c r="K5" s="37" t="inlineStr">
        <is>
          <t>系统响应/验收结果</t>
        </is>
      </c>
      <c r="L5" s="37" t="inlineStr">
        <is>
          <t>技术服务/实现层</t>
        </is>
      </c>
      <c r="M5" s="37" t="inlineStr">
        <is>
          <t>前置任务</t>
        </is>
      </c>
      <c r="N5" s="37" t="inlineStr">
        <is>
          <t>BA(人天)</t>
        </is>
      </c>
      <c r="O5" s="37" t="inlineStr">
        <is>
          <t>前端(人天)</t>
        </is>
      </c>
      <c r="P5" s="37" t="inlineStr">
        <is>
          <t>后端API(人天)</t>
        </is>
      </c>
      <c r="Q5" s="37" t="inlineStr">
        <is>
          <t>数据(人天)</t>
        </is>
      </c>
      <c r="R5" s="37" t="inlineStr">
        <is>
          <t>QA(人天)</t>
        </is>
      </c>
      <c r="S5" s="37" t="inlineStr">
        <is>
          <t>小计(人天)</t>
        </is>
      </c>
      <c r="T5" s="37" t="inlineStr">
        <is>
          <t>状态</t>
        </is>
      </c>
      <c r="U5" s="37" t="inlineStr">
        <is>
          <t>进度</t>
        </is>
      </c>
      <c r="V5" s="37" t="inlineStr">
        <is>
          <t>技术要点/备注</t>
        </is>
      </c>
    </row>
    <row r="6" ht="64" customHeight="1">
      <c r="A6" s="38" t="inlineStr">
        <is>
          <t>1.1</t>
        </is>
      </c>
      <c r="B6" s="39" t="inlineStr">
        <is>
          <t>ADMIN</t>
        </is>
      </c>
      <c r="C6" s="40" t="inlineStr">
        <is>
          <t>登录</t>
        </is>
      </c>
      <c r="D6" s="38" t="inlineStr">
        <is>
          <t>1</t>
        </is>
      </c>
      <c r="E6" s="38" t="inlineStr">
        <is>
          <t>管理员</t>
        </is>
      </c>
      <c r="F6" s="41" t="inlineStr">
        <is>
          <t>P0</t>
        </is>
      </c>
      <c r="G6" s="40" t="inlineStr">
        <is>
          <t>Phase1 · 当前范围</t>
        </is>
      </c>
      <c r="H6" s="40" t="inlineStr">
        <is>
          <t>管理员/终端用户进入系统登录页，选择企业 SSO 并完成认证</t>
        </is>
      </c>
      <c r="I6" s="40" t="inlineStr">
        <is>
          <t>企业 SSO 集成</t>
        </is>
      </c>
      <c r="J6" s="40" t="inlineStr">
        <is>
          <t>管理员/终端用户进入系统登录页，选择企业 SSO 并完成认证</t>
        </is>
      </c>
      <c r="K6" s="40" t="inlineStr">
        <is>
          <t>校验企业身份、建立会话并按角色加载菜单；登录失败给出原因</t>
        </is>
      </c>
      <c r="L6" s="40" t="inlineStr">
        <is>
          <t>AuthManagementService（认证授权服务）</t>
        </is>
      </c>
      <c r="M6" s="40" t="inlineStr">
        <is>
          <t>—</t>
        </is>
      </c>
      <c r="N6" s="38" t="n">
        <v>1</v>
      </c>
      <c r="O6" s="38" t="n">
        <v>2</v>
      </c>
      <c r="P6" s="38" t="n">
        <v>2</v>
      </c>
      <c r="Q6" s="38" t="n">
        <v>0</v>
      </c>
      <c r="R6" s="38" t="n">
        <v>3</v>
      </c>
      <c r="S6" s="38">
        <f>SUM(N6:R6)</f>
        <v/>
      </c>
      <c r="T6" s="38" t="inlineStr">
        <is>
          <t>未开始</t>
        </is>
      </c>
      <c r="U6" s="38" t="n">
        <v>0</v>
      </c>
      <c r="V6" s="40" t="inlineStr">
        <is>
          <t>集成 LDAPs；End User 共用，不重复计</t>
        </is>
      </c>
    </row>
    <row r="7" ht="64" customHeight="1">
      <c r="A7" s="38" t="inlineStr">
        <is>
          <t>1.2</t>
        </is>
      </c>
      <c r="B7" s="39" t="inlineStr">
        <is>
          <t>ADMIN</t>
        </is>
      </c>
      <c r="C7" s="40" t="inlineStr">
        <is>
          <t>源系统管理</t>
        </is>
      </c>
      <c r="D7" s="38" t="inlineStr">
        <is>
          <t>2</t>
        </is>
      </c>
      <c r="E7" s="38" t="inlineStr">
        <is>
          <t>管理员</t>
        </is>
      </c>
      <c r="F7" s="41" t="inlineStr">
        <is>
          <t>P0</t>
        </is>
      </c>
      <c r="G7" s="40" t="inlineStr">
        <is>
          <t>Phase1 · 当前范围</t>
        </is>
      </c>
      <c r="H7" s="40" t="inlineStr">
        <is>
          <t>管理员打开“源系统管理”，点击新增，录入系统名称、系统编码、系统类型和联系人并保存</t>
        </is>
      </c>
      <c r="I7" s="40" t="inlineStr">
        <is>
          <t>系统基础信息录入</t>
        </is>
      </c>
      <c r="J7" s="40" t="inlineStr">
        <is>
          <t>管理员打开“源系统管理”，点击新增，录入系统名称、系统编码、系统类型和联系人并保存</t>
        </is>
      </c>
      <c r="K7" s="40" t="inlineStr">
        <is>
          <t>校验必填项和编码唯一性，保存来源系统并生成系统标识</t>
        </is>
      </c>
      <c r="L7" s="40" t="inlineStr">
        <is>
          <t>SourceSystemManagementService（来源系统管理服务）</t>
        </is>
      </c>
      <c r="M7" s="40" t="inlineStr">
        <is>
          <t>企业 SSO 集成</t>
        </is>
      </c>
      <c r="N7" s="38" t="n">
        <v>1</v>
      </c>
      <c r="O7" s="38" t="n">
        <v>1</v>
      </c>
      <c r="P7" s="38" t="n">
        <v>1</v>
      </c>
      <c r="Q7" s="38" t="n">
        <v>0</v>
      </c>
      <c r="R7" s="38" t="n">
        <v>1</v>
      </c>
      <c r="S7" s="38">
        <f>SUM(N7:R7)</f>
        <v/>
      </c>
      <c r="T7" s="38" t="inlineStr">
        <is>
          <t>未开始</t>
        </is>
      </c>
      <c r="U7" s="38" t="n">
        <v>0</v>
      </c>
      <c r="V7" s="40" t="inlineStr"/>
    </row>
    <row r="8" ht="64" customHeight="1">
      <c r="A8" s="38" t="inlineStr">
        <is>
          <t>1.3</t>
        </is>
      </c>
      <c r="B8" s="39" t="inlineStr">
        <is>
          <t>ADMIN</t>
        </is>
      </c>
      <c r="C8" s="40" t="inlineStr">
        <is>
          <t>源系统管理</t>
        </is>
      </c>
      <c r="D8" s="38" t="inlineStr">
        <is>
          <t>3</t>
        </is>
      </c>
      <c r="E8" s="38" t="inlineStr">
        <is>
          <t>管理员</t>
        </is>
      </c>
      <c r="F8" s="41" t="inlineStr">
        <is>
          <t>P0</t>
        </is>
      </c>
      <c r="G8" s="40" t="inlineStr">
        <is>
          <t>Phase1 · 当前范围</t>
        </is>
      </c>
      <c r="H8" s="40" t="inlineStr">
        <is>
          <t>管理员选择来源系统，进入“数据源配置”，填写连接信息并点击测试连接/保存</t>
        </is>
      </c>
      <c r="I8" s="40" t="inlineStr">
        <is>
          <t>数据库连接信息配置（配置数据源）</t>
        </is>
      </c>
      <c r="J8" s="40" t="inlineStr">
        <is>
          <t>管理员选择来源系统，进入“数据源配置”，填写连接信息并点击测试连接/保存</t>
        </is>
      </c>
      <c r="K8" s="40" t="inlineStr">
        <is>
          <t>安全保存连接配置，返回连接测试结果并为后续元数据拉取提供数据源</t>
        </is>
      </c>
      <c r="L8" s="40" t="inlineStr">
        <is>
          <t>SourceSystemManagementService</t>
        </is>
      </c>
      <c r="M8" s="40" t="inlineStr">
        <is>
          <t>系统基础信息录入</t>
        </is>
      </c>
      <c r="N8" s="38" t="n">
        <v>0</v>
      </c>
      <c r="O8" s="38" t="n">
        <v>0.5</v>
      </c>
      <c r="P8" s="38" t="n">
        <v>2</v>
      </c>
      <c r="Q8" s="38" t="n">
        <v>0</v>
      </c>
      <c r="R8" s="38" t="n">
        <v>0</v>
      </c>
      <c r="S8" s="38">
        <f>SUM(N8:R8)</f>
        <v/>
      </c>
      <c r="T8" s="38" t="inlineStr">
        <is>
          <t>未开始</t>
        </is>
      </c>
      <c r="U8" s="38" t="n">
        <v>0</v>
      </c>
      <c r="V8" s="40" t="inlineStr"/>
    </row>
    <row r="9" ht="64" customHeight="1">
      <c r="A9" s="38" t="inlineStr">
        <is>
          <t>1.4</t>
        </is>
      </c>
      <c r="B9" s="39" t="inlineStr">
        <is>
          <t>ADMIN</t>
        </is>
      </c>
      <c r="C9" s="40" t="inlineStr">
        <is>
          <t>源系统管理</t>
        </is>
      </c>
      <c r="D9" s="38" t="inlineStr">
        <is>
          <t>4</t>
        </is>
      </c>
      <c r="E9" s="38" t="inlineStr">
        <is>
          <t>管理员</t>
        </is>
      </c>
      <c r="F9" s="41" t="inlineStr">
        <is>
          <t>P0</t>
        </is>
      </c>
      <c r="G9" s="40" t="inlineStr">
        <is>
          <t>Phase1 · 当前范围</t>
        </is>
      </c>
      <c r="H9" s="40" t="inlineStr">
        <is>
          <t>管理员在来源系统或生命周期配置中设置保留期限</t>
        </is>
      </c>
      <c r="I9" s="40" t="inlineStr">
        <is>
          <t>数据保留期限设置</t>
        </is>
      </c>
      <c r="J9" s="40" t="inlineStr">
        <is>
          <t>管理员在来源系统或生命周期配置中设置保留期限</t>
        </is>
      </c>
      <c r="K9" s="40" t="inlineStr">
        <is>
          <t>保存保留期限，供删除前置校验使用</t>
        </is>
      </c>
      <c r="L9" s="40" t="inlineStr">
        <is>
          <t>LifecycleManagementService（生命周期管理服务）</t>
        </is>
      </c>
      <c r="M9" s="40" t="inlineStr">
        <is>
          <t>系统基础信息录入</t>
        </is>
      </c>
      <c r="N9" s="38" t="n">
        <v>0</v>
      </c>
      <c r="O9" s="38" t="n">
        <v>0.5</v>
      </c>
      <c r="P9" s="38" t="n">
        <v>0.5</v>
      </c>
      <c r="Q9" s="38" t="n">
        <v>0</v>
      </c>
      <c r="R9" s="38" t="n">
        <v>0</v>
      </c>
      <c r="S9" s="38">
        <f>SUM(N9:R9)</f>
        <v/>
      </c>
      <c r="T9" s="38" t="inlineStr">
        <is>
          <t>未开始</t>
        </is>
      </c>
      <c r="U9" s="38" t="n">
        <v>0</v>
      </c>
      <c r="V9" s="40" t="inlineStr">
        <is>
          <t>保留期限为后续删除校验输入</t>
        </is>
      </c>
    </row>
    <row r="10" ht="64" customHeight="1">
      <c r="A10" s="38" t="inlineStr">
        <is>
          <t>1.5</t>
        </is>
      </c>
      <c r="B10" s="39" t="inlineStr">
        <is>
          <t>ADMIN</t>
        </is>
      </c>
      <c r="C10" s="40" t="inlineStr">
        <is>
          <t>归档配置</t>
        </is>
      </c>
      <c r="D10" s="38" t="inlineStr">
        <is>
          <t>5</t>
        </is>
      </c>
      <c r="E10" s="38" t="inlineStr">
        <is>
          <t>管理员</t>
        </is>
      </c>
      <c r="F10" s="41" t="inlineStr">
        <is>
          <t>P0</t>
        </is>
      </c>
      <c r="G10" s="40" t="inlineStr">
        <is>
          <t>Phase1 · 当前范围</t>
        </is>
      </c>
      <c r="H10" s="40" t="inlineStr">
        <is>
          <t>管理员进入“归档配置”，选择数据源并点击拉取/刷新表结构</t>
        </is>
      </c>
      <c r="I10" s="40" t="inlineStr">
        <is>
          <t>拉取源数据库表结构</t>
        </is>
      </c>
      <c r="J10" s="40" t="inlineStr">
        <is>
          <t>管理员进入“归档配置”，选择数据源并点击拉取/刷新表结构</t>
        </is>
      </c>
      <c r="K10" s="40" t="inlineStr">
        <is>
          <t>通过 JDBC 读取库、表、字段元数据，展示拉取状态和结果</t>
        </is>
      </c>
      <c r="L10" s="40" t="inlineStr">
        <is>
          <t>MetadataManagementService（元数据管理服务）</t>
        </is>
      </c>
      <c r="M10" s="40" t="inlineStr">
        <is>
          <t>数据库连接信息配置（配置数据源）</t>
        </is>
      </c>
      <c r="N10" s="38" t="n">
        <v>2</v>
      </c>
      <c r="O10" s="38" t="n">
        <v>0.5</v>
      </c>
      <c r="P10" s="38" t="n">
        <v>2</v>
      </c>
      <c r="Q10" s="38" t="n">
        <v>0</v>
      </c>
      <c r="R10" s="38" t="n">
        <v>2</v>
      </c>
      <c r="S10" s="38">
        <f>SUM(N10:R10)</f>
        <v/>
      </c>
      <c r="T10" s="38" t="inlineStr">
        <is>
          <t>未开始</t>
        </is>
      </c>
      <c r="U10" s="38" t="n">
        <v>0</v>
      </c>
      <c r="V10" s="40" t="inlineStr">
        <is>
          <t>后端 JDBC 连接数据源动态拉取</t>
        </is>
      </c>
    </row>
    <row r="11" ht="64" customHeight="1">
      <c r="A11" s="38" t="inlineStr">
        <is>
          <t>1.6</t>
        </is>
      </c>
      <c r="B11" s="39" t="inlineStr">
        <is>
          <t>ADMIN</t>
        </is>
      </c>
      <c r="C11" s="40" t="inlineStr">
        <is>
          <t>归档配置</t>
        </is>
      </c>
      <c r="D11" s="38" t="inlineStr">
        <is>
          <t>6</t>
        </is>
      </c>
      <c r="E11" s="38" t="inlineStr">
        <is>
          <t>管理员</t>
        </is>
      </c>
      <c r="F11" s="41" t="inlineStr">
        <is>
          <t>P0</t>
        </is>
      </c>
      <c r="G11" s="40" t="inlineStr">
        <is>
          <t>Phase1 · 当前范围</t>
        </is>
      </c>
      <c r="H11" s="40" t="inlineStr">
        <is>
          <t>管理员在表清单中勾选需要归档的表，或上传标准模板同步表清单后确认</t>
        </is>
      </c>
      <c r="I11" s="40" t="inlineStr">
        <is>
          <t>勾选需要备份的表【或上传同步表清单】</t>
        </is>
      </c>
      <c r="J11" s="40" t="inlineStr">
        <is>
          <t>管理员在表清单中勾选需要归档的表，或上传标准模板同步表清单后确认</t>
        </is>
      </c>
      <c r="K11" s="40" t="inlineStr">
        <is>
          <t>校验表清单格式和表是否存在，保存归档范围并支持预览</t>
        </is>
      </c>
      <c r="L11" s="40" t="inlineStr">
        <is>
          <t>ArchiveConfigService（归档配置服务）</t>
        </is>
      </c>
      <c r="M11" s="40" t="inlineStr">
        <is>
          <t>拉取源数据库表结构</t>
        </is>
      </c>
      <c r="N11" s="38" t="n">
        <v>0</v>
      </c>
      <c r="O11" s="38" t="n">
        <v>0.5</v>
      </c>
      <c r="P11" s="38" t="n">
        <v>0.5</v>
      </c>
      <c r="Q11" s="38" t="n">
        <v>0</v>
      </c>
      <c r="R11" s="38" t="n">
        <v>0</v>
      </c>
      <c r="S11" s="38">
        <f>SUM(N11:R11)</f>
        <v/>
      </c>
      <c r="T11" s="38" t="inlineStr">
        <is>
          <t>未开始</t>
        </is>
      </c>
      <c r="U11" s="38" t="n">
        <v>0</v>
      </c>
      <c r="V11" s="40" t="inlineStr">
        <is>
          <t>勾选与上传清单同一界面；上传为 Excel 模板可选增强</t>
        </is>
      </c>
    </row>
    <row r="12" ht="64" customHeight="1">
      <c r="A12" s="38" t="inlineStr">
        <is>
          <t>1.7</t>
        </is>
      </c>
      <c r="B12" s="39" t="inlineStr">
        <is>
          <t>ADMIN</t>
        </is>
      </c>
      <c r="C12" s="40" t="inlineStr">
        <is>
          <t>归档配置</t>
        </is>
      </c>
      <c r="D12" s="38" t="inlineStr">
        <is>
          <t>7</t>
        </is>
      </c>
      <c r="E12" s="38" t="inlineStr">
        <is>
          <t>管理员</t>
        </is>
      </c>
      <c r="F12" s="41" t="inlineStr">
        <is>
          <t>P0</t>
        </is>
      </c>
      <c r="G12" s="40" t="inlineStr">
        <is>
          <t>Phase1 · 当前范围</t>
        </is>
      </c>
      <c r="H12" s="40" t="inlineStr">
        <is>
          <t>管理员在字段清单中标识敏感字段并选择处理方式</t>
        </is>
      </c>
      <c r="I12" s="40" t="inlineStr">
        <is>
          <t>敏感字段标识</t>
        </is>
      </c>
      <c r="J12" s="40" t="inlineStr">
        <is>
          <t>管理员在字段清单中标识敏感字段并选择处理方式</t>
        </is>
      </c>
      <c r="K12" s="40" t="inlineStr">
        <is>
          <t>保存敏感字段标记，关联 Key Vault 密钥和统一加密算法</t>
        </is>
      </c>
      <c r="L12" s="40" t="inlineStr">
        <is>
          <t>MetadataManagementService</t>
        </is>
      </c>
      <c r="M12" s="40" t="inlineStr">
        <is>
          <t>拉取源数据库表结构</t>
        </is>
      </c>
      <c r="N12" s="38" t="n">
        <v>0</v>
      </c>
      <c r="O12" s="38" t="n">
        <v>0.5</v>
      </c>
      <c r="P12" s="38" t="n">
        <v>1</v>
      </c>
      <c r="Q12" s="38" t="n">
        <v>0</v>
      </c>
      <c r="R12" s="38" t="n">
        <v>0</v>
      </c>
      <c r="S12" s="38">
        <f>SUM(N12:R12)</f>
        <v/>
      </c>
      <c r="T12" s="38" t="inlineStr">
        <is>
          <t>未开始</t>
        </is>
      </c>
      <c r="U12" s="38" t="n">
        <v>0</v>
      </c>
      <c r="V12" s="40" t="inlineStr">
        <is>
          <t>获取 Key Vault 密钥，使用 RIMS 统一加密算法</t>
        </is>
      </c>
    </row>
    <row r="13" ht="64" customHeight="1">
      <c r="A13" s="38" t="inlineStr">
        <is>
          <t>1.8</t>
        </is>
      </c>
      <c r="B13" s="39" t="inlineStr">
        <is>
          <t>ADMIN</t>
        </is>
      </c>
      <c r="C13" s="40" t="inlineStr">
        <is>
          <t>归档配置</t>
        </is>
      </c>
      <c r="D13" s="38" t="inlineStr">
        <is>
          <t>8</t>
        </is>
      </c>
      <c r="E13" s="38" t="inlineStr">
        <is>
          <t>管理员</t>
        </is>
      </c>
      <c r="F13" s="41" t="inlineStr">
        <is>
          <t>P0</t>
        </is>
      </c>
      <c r="G13" s="40" t="inlineStr">
        <is>
          <t>Phase1 · 当前范围</t>
        </is>
      </c>
      <c r="H13" s="40" t="inlineStr">
        <is>
          <t>管理员进入“转换字段配置”，选择字段并配置加解密规则</t>
        </is>
      </c>
      <c r="I13" s="40" t="inlineStr">
        <is>
          <t>配置转换字段：字段加解密规则</t>
        </is>
      </c>
      <c r="J13" s="40" t="inlineStr">
        <is>
          <t>管理员进入“转换字段配置”，选择字段并配置加解密规则</t>
        </is>
      </c>
      <c r="K13" s="40" t="inlineStr">
        <is>
          <t>保存字段规则，归档执行时先解密源数据再按 RIMS 密钥重新加密</t>
        </is>
      </c>
      <c r="L13" s="40" t="inlineStr">
        <is>
          <t>DataProcessingRuleService（数据处理规则服务）</t>
        </is>
      </c>
      <c r="M13" s="40" t="inlineStr">
        <is>
          <t>敏感字段标识</t>
        </is>
      </c>
      <c r="N13" s="38" t="n">
        <v>2</v>
      </c>
      <c r="O13" s="38" t="n">
        <v>1</v>
      </c>
      <c r="P13" s="38" t="n">
        <v>2</v>
      </c>
      <c r="Q13" s="38" t="n">
        <v>0</v>
      </c>
      <c r="R13" s="38" t="n">
        <v>0</v>
      </c>
      <c r="S13" s="38">
        <f>SUM(N13:R13)</f>
        <v/>
      </c>
      <c r="T13" s="38" t="inlineStr">
        <is>
          <t>未开始</t>
        </is>
      </c>
      <c r="U13" s="38" t="n">
        <v>0</v>
      </c>
      <c r="V13" s="40" t="inlineStr">
        <is>
          <t>先解密源数据，再用 RIMS 密钥重新加密</t>
        </is>
      </c>
    </row>
    <row r="14" ht="64" customHeight="1">
      <c r="A14" s="38" t="inlineStr">
        <is>
          <t>1.9</t>
        </is>
      </c>
      <c r="B14" s="39" t="inlineStr">
        <is>
          <t>ADMIN</t>
        </is>
      </c>
      <c r="C14" s="40" t="inlineStr">
        <is>
          <t>归档配置</t>
        </is>
      </c>
      <c r="D14" s="38" t="inlineStr">
        <is>
          <t>9</t>
        </is>
      </c>
      <c r="E14" s="38" t="inlineStr">
        <is>
          <t>管理员</t>
        </is>
      </c>
      <c r="F14" s="41" t="inlineStr">
        <is>
          <t>P0</t>
        </is>
      </c>
      <c r="G14" s="40" t="inlineStr">
        <is>
          <t>Phase1 · 当前范围</t>
        </is>
      </c>
      <c r="H14" s="40" t="inlineStr">
        <is>
          <t>管理员选择字段并配置脱敏策略、掩码方式和适用范围</t>
        </is>
      </c>
      <c r="I14" s="40" t="inlineStr">
        <is>
          <t>配置转换字段：数据脱敏规则</t>
        </is>
      </c>
      <c r="J14" s="40" t="inlineStr">
        <is>
          <t>管理员选择字段并配置脱敏策略、掩码方式和适用范围</t>
        </is>
      </c>
      <c r="K14" s="40" t="inlineStr">
        <is>
          <t>保存脱敏规则并在 ETL 执行时应用</t>
        </is>
      </c>
      <c r="L14" s="40" t="inlineStr">
        <is>
          <t>DataProcessingRuleService</t>
        </is>
      </c>
      <c r="M14" s="40" t="inlineStr">
        <is>
          <t>敏感字段标识</t>
        </is>
      </c>
      <c r="N14" s="38" t="n">
        <v>1</v>
      </c>
      <c r="O14" s="38" t="n">
        <v>2</v>
      </c>
      <c r="P14" s="38" t="n">
        <v>0</v>
      </c>
      <c r="Q14" s="38" t="n">
        <v>0</v>
      </c>
      <c r="R14" s="38" t="n">
        <v>0</v>
      </c>
      <c r="S14" s="38">
        <f>SUM(N14:R14)</f>
        <v/>
      </c>
      <c r="T14" s="38" t="inlineStr">
        <is>
          <t>未开始</t>
        </is>
      </c>
      <c r="U14" s="38" t="n">
        <v>0</v>
      </c>
      <c r="V14" s="40" t="inlineStr"/>
    </row>
    <row r="15" ht="64" customHeight="1">
      <c r="A15" s="38" t="inlineStr">
        <is>
          <t>1.10</t>
        </is>
      </c>
      <c r="B15" s="39" t="inlineStr">
        <is>
          <t>ADMIN</t>
        </is>
      </c>
      <c r="C15" s="40" t="inlineStr">
        <is>
          <t>归档配置</t>
        </is>
      </c>
      <c r="D15" s="38" t="inlineStr">
        <is>
          <t>10</t>
        </is>
      </c>
      <c r="E15" s="38" t="inlineStr">
        <is>
          <t>管理员</t>
        </is>
      </c>
      <c r="F15" s="41" t="inlineStr">
        <is>
          <t>P0</t>
        </is>
      </c>
      <c r="G15" s="40" t="inlineStr">
        <is>
          <t>Phase1 · 当前范围</t>
        </is>
      </c>
      <c r="H15" s="40" t="inlineStr">
        <is>
          <t>管理员配置源附件路径与归档 Blob 路径的映射规则</t>
        </is>
      </c>
      <c r="I15" s="40" t="inlineStr">
        <is>
          <t>配置转换字段：附件 URL 转换规则</t>
        </is>
      </c>
      <c r="J15" s="40" t="inlineStr">
        <is>
          <t>管理员配置源附件路径与归档 Blob 路径的映射规则</t>
        </is>
      </c>
      <c r="K15" s="40" t="inlineStr">
        <is>
          <t>生成归档地址映射，供附件迁移及终端预览使用</t>
        </is>
      </c>
      <c r="L15" s="40" t="inlineStr">
        <is>
          <t>DataProcessingRuleService</t>
        </is>
      </c>
      <c r="M15" s="40" t="inlineStr">
        <is>
          <t>敏感字段标识</t>
        </is>
      </c>
      <c r="N15" s="38" t="n">
        <v>1</v>
      </c>
      <c r="O15" s="38" t="n">
        <v>1</v>
      </c>
      <c r="P15" s="38" t="n">
        <v>0</v>
      </c>
      <c r="Q15" s="38" t="n">
        <v>0</v>
      </c>
      <c r="R15" s="38" t="n">
        <v>0</v>
      </c>
      <c r="S15" s="38">
        <f>SUM(N15:R15)</f>
        <v/>
      </c>
      <c r="T15" s="38" t="inlineStr">
        <is>
          <t>未开始</t>
        </is>
      </c>
      <c r="U15" s="38" t="n">
        <v>0</v>
      </c>
      <c r="V15" s="40" t="inlineStr">
        <is>
          <t>源附件路径 → 归档 Blob 新路径映射</t>
        </is>
      </c>
    </row>
    <row r="16" ht="64" customHeight="1">
      <c r="A16" s="38" t="inlineStr">
        <is>
          <t>1.11</t>
        </is>
      </c>
      <c r="B16" s="39" t="inlineStr">
        <is>
          <t>ADMIN</t>
        </is>
      </c>
      <c r="C16" s="40" t="inlineStr">
        <is>
          <t>归档配置</t>
        </is>
      </c>
      <c r="D16" s="38" t="inlineStr">
        <is>
          <t>11</t>
        </is>
      </c>
      <c r="E16" s="38" t="inlineStr">
        <is>
          <t>管理员</t>
        </is>
      </c>
      <c r="F16" s="41" t="inlineStr">
        <is>
          <t>P0</t>
        </is>
      </c>
      <c r="G16" s="40" t="inlineStr">
        <is>
          <t>Phase1 · 当前范围</t>
        </is>
      </c>
      <c r="H16" s="40" t="inlineStr">
        <is>
          <t>管理员确认表、字段及转换规则后点击生成/预览 ETL 配置</t>
        </is>
      </c>
      <c r="I16" s="40" t="inlineStr">
        <is>
          <t>生成 ETL 配置</t>
        </is>
      </c>
      <c r="J16" s="40" t="inlineStr">
        <is>
          <t>管理员确认表、字段及转换规则后点击生成/预览 ETL 配置</t>
        </is>
      </c>
      <c r="K16" s="40" t="inlineStr">
        <is>
          <t>按配置生成抽取、转换、装载任务，并返回校验结果</t>
        </is>
      </c>
      <c r="L16" s="40" t="inlineStr">
        <is>
          <t>ArchiveConfigService</t>
        </is>
      </c>
      <c r="M16" s="40" t="inlineStr">
        <is>
          <t>勾选需要备份的表【或上传同步表清单】、配置转换字段</t>
        </is>
      </c>
      <c r="N16" s="38" t="n">
        <v>1</v>
      </c>
      <c r="O16" s="38" t="n">
        <v>3</v>
      </c>
      <c r="P16" s="38" t="n">
        <v>1</v>
      </c>
      <c r="Q16" s="38" t="n">
        <v>0</v>
      </c>
      <c r="R16" s="38" t="n">
        <v>0</v>
      </c>
      <c r="S16" s="38">
        <f>SUM(N16:R16)</f>
        <v/>
      </c>
      <c r="T16" s="38" t="inlineStr">
        <is>
          <t>未开始</t>
        </is>
      </c>
      <c r="U16" s="38" t="n">
        <v>0</v>
      </c>
      <c r="V16" s="40" t="inlineStr">
        <is>
          <t>按配置自动生成抽取/转换任务</t>
        </is>
      </c>
    </row>
    <row r="17" ht="64" customHeight="1">
      <c r="A17" s="38" t="inlineStr">
        <is>
          <t>1.12</t>
        </is>
      </c>
      <c r="B17" s="39" t="inlineStr">
        <is>
          <t>ADMIN</t>
        </is>
      </c>
      <c r="C17" s="40" t="inlineStr">
        <is>
          <t>归档执行</t>
        </is>
      </c>
      <c r="D17" s="38" t="inlineStr">
        <is>
          <t>12</t>
        </is>
      </c>
      <c r="E17" s="38" t="inlineStr">
        <is>
          <t>管理员</t>
        </is>
      </c>
      <c r="F17" s="41" t="inlineStr">
        <is>
          <t>P0</t>
        </is>
      </c>
      <c r="G17" s="40" t="inlineStr">
        <is>
          <t>Phase1 · 当前范围</t>
        </is>
      </c>
      <c r="H17" s="40" t="inlineStr">
        <is>
          <t>管理员在归档执行页选择归档配置并生成执行任务</t>
        </is>
      </c>
      <c r="I17" s="40" t="inlineStr">
        <is>
          <t>编写执行归档通用脚本</t>
        </is>
      </c>
      <c r="J17" s="40" t="inlineStr">
        <is>
          <t>管理员在归档执行页选择归档配置并生成执行任务</t>
        </is>
      </c>
      <c r="K17" s="40" t="inlineStr">
        <is>
          <t>根据配置生成 Databricks 执行脚本和任务参数</t>
        </is>
      </c>
      <c r="L17" s="40" t="inlineStr">
        <is>
          <t>ArchiveExecutionService（归档执行服务）</t>
        </is>
      </c>
      <c r="M17" s="40" t="inlineStr">
        <is>
          <t>生成 ETL 配置</t>
        </is>
      </c>
      <c r="N17" s="38" t="n">
        <v>1</v>
      </c>
      <c r="O17" s="38" t="n">
        <v>0</v>
      </c>
      <c r="P17" s="38" t="n">
        <v>0</v>
      </c>
      <c r="Q17" s="38" t="n">
        <v>8</v>
      </c>
      <c r="R17" s="38" t="n">
        <v>6</v>
      </c>
      <c r="S17" s="38">
        <f>SUM(N17:R17)</f>
        <v/>
      </c>
      <c r="T17" s="38" t="inlineStr">
        <is>
          <t>未开始</t>
        </is>
      </c>
      <c r="U17" s="38" t="n">
        <v>0</v>
      </c>
      <c r="V17" s="40" t="inlineStr">
        <is>
          <t>根据配置生成执行脚本，Databricks 同步数据</t>
        </is>
      </c>
    </row>
    <row r="18" ht="64" customHeight="1">
      <c r="A18" s="38" t="inlineStr">
        <is>
          <t>1.13</t>
        </is>
      </c>
      <c r="B18" s="39" t="inlineStr">
        <is>
          <t>ADMIN</t>
        </is>
      </c>
      <c r="C18" s="40" t="inlineStr">
        <is>
          <t>归档执行</t>
        </is>
      </c>
      <c r="D18" s="38" t="inlineStr">
        <is>
          <t>13</t>
        </is>
      </c>
      <c r="E18" s="38" t="inlineStr">
        <is>
          <t>管理员</t>
        </is>
      </c>
      <c r="F18" s="41" t="inlineStr">
        <is>
          <t>P0</t>
        </is>
      </c>
      <c r="G18" s="40" t="inlineStr">
        <is>
          <t>Phase1 · 当前范围</t>
        </is>
      </c>
      <c r="H18" s="40" t="inlineStr">
        <is>
          <t>管理员选择 CC 系统归档批次并点击执行</t>
        </is>
      </c>
      <c r="I18" s="40" t="inlineStr">
        <is>
          <t>执行 CC 系统的归档</t>
        </is>
      </c>
      <c r="J18" s="40" t="inlineStr">
        <is>
          <t>管理员选择 CC 系统归档批次并点击执行</t>
        </is>
      </c>
      <c r="K18" s="40" t="inlineStr">
        <is>
          <t>提交 Databricks Job，展示任务状态、批次和执行进度</t>
        </is>
      </c>
      <c r="L18" s="40" t="inlineStr">
        <is>
          <t>ArchiveExecutionService</t>
        </is>
      </c>
      <c r="M18" s="40" t="inlineStr">
        <is>
          <t>编写执行归档通用脚本</t>
        </is>
      </c>
      <c r="N18" s="38" t="n">
        <v>0</v>
      </c>
      <c r="O18" s="38" t="n">
        <v>0</v>
      </c>
      <c r="P18" s="38" t="n">
        <v>0</v>
      </c>
      <c r="Q18" s="38" t="n">
        <v>5</v>
      </c>
      <c r="R18" s="38" t="n">
        <v>0</v>
      </c>
      <c r="S18" s="38">
        <f>SUM(N18:R18)</f>
        <v/>
      </c>
      <c r="T18" s="38" t="inlineStr">
        <is>
          <t>未开始</t>
        </is>
      </c>
      <c r="U18" s="38" t="n">
        <v>0</v>
      </c>
      <c r="V18" s="40" t="inlineStr">
        <is>
          <t>测试迁移系统：Caring Center</t>
        </is>
      </c>
    </row>
    <row r="19" ht="64" customHeight="1">
      <c r="A19" s="38" t="inlineStr">
        <is>
          <t>1.14</t>
        </is>
      </c>
      <c r="B19" s="39" t="inlineStr">
        <is>
          <t>ADMIN</t>
        </is>
      </c>
      <c r="C19" s="40" t="inlineStr">
        <is>
          <t>归档执行</t>
        </is>
      </c>
      <c r="D19" s="38" t="inlineStr">
        <is>
          <t>14</t>
        </is>
      </c>
      <c r="E19" s="38" t="inlineStr">
        <is>
          <t>管理员</t>
        </is>
      </c>
      <c r="F19" s="41" t="inlineStr">
        <is>
          <t>P0</t>
        </is>
      </c>
      <c r="G19" s="40" t="inlineStr">
        <is>
          <t>Phase1 · 当前范围</t>
        </is>
      </c>
      <c r="H19" s="40" t="inlineStr">
        <is>
          <t>管理员进入批次管理查看批次，必要时关闭或重新打开批次</t>
        </is>
      </c>
      <c r="I19" s="40" t="inlineStr">
        <is>
          <t>归档批次管理（UI）</t>
        </is>
      </c>
      <c r="J19" s="40" t="inlineStr">
        <is>
          <t>管理员进入批次管理查看批次，必要时关闭或重新打开批次</t>
        </is>
      </c>
      <c r="K19" s="40" t="inlineStr">
        <is>
          <t>展示批次状态、范围、创建时间及可执行操作</t>
        </is>
      </c>
      <c r="L19" s="40" t="inlineStr">
        <is>
          <t>ArchiveExecutionService</t>
        </is>
      </c>
      <c r="M19" s="40" t="inlineStr">
        <is>
          <t>执行 CC 系统的归档</t>
        </is>
      </c>
      <c r="N19" s="38" t="n">
        <v>0</v>
      </c>
      <c r="O19" s="38" t="n">
        <v>0.5</v>
      </c>
      <c r="P19" s="38" t="n">
        <v>2</v>
      </c>
      <c r="Q19" s="38" t="n">
        <v>0</v>
      </c>
      <c r="R19" s="38" t="n">
        <v>0</v>
      </c>
      <c r="S19" s="38">
        <f>SUM(N19:R19)</f>
        <v/>
      </c>
      <c r="T19" s="38" t="inlineStr">
        <is>
          <t>未开始</t>
        </is>
      </c>
      <c r="U19" s="38" t="n">
        <v>0</v>
      </c>
      <c r="V19" s="40" t="inlineStr"/>
    </row>
    <row r="20" ht="64" customHeight="1">
      <c r="A20" s="38" t="inlineStr">
        <is>
          <t>1.15</t>
        </is>
      </c>
      <c r="B20" s="39" t="inlineStr">
        <is>
          <t>ADMIN</t>
        </is>
      </c>
      <c r="C20" s="40" t="inlineStr">
        <is>
          <t>归档执行</t>
        </is>
      </c>
      <c r="D20" s="38" t="inlineStr">
        <is>
          <t>15</t>
        </is>
      </c>
      <c r="E20" s="38" t="inlineStr">
        <is>
          <t>管理员</t>
        </is>
      </c>
      <c r="F20" s="41" t="inlineStr">
        <is>
          <t>P0</t>
        </is>
      </c>
      <c r="G20" s="40" t="inlineStr">
        <is>
          <t>Phase1 · 当前范围</t>
        </is>
      </c>
      <c r="H20" s="40" t="inlineStr">
        <is>
          <t>管理员打开归档批次并查看结果/日志</t>
        </is>
      </c>
      <c r="I20" s="40" t="inlineStr">
        <is>
          <t>查看归档结果</t>
        </is>
      </c>
      <c r="J20" s="40" t="inlineStr">
        <is>
          <t>管理员打开归档批次并查看结果/日志</t>
        </is>
      </c>
      <c r="K20" s="40" t="inlineStr">
        <is>
          <t>展示成功、失败、跳过数量及错误明细</t>
        </is>
      </c>
      <c r="L20" s="40" t="inlineStr">
        <is>
          <t>ArchiveExecutionService</t>
        </is>
      </c>
      <c r="M20" s="40" t="inlineStr">
        <is>
          <t>执行 CC 系统的归档</t>
        </is>
      </c>
      <c r="N20" s="38" t="n">
        <v>0</v>
      </c>
      <c r="O20" s="38" t="n">
        <v>0.5</v>
      </c>
      <c r="P20" s="38" t="n">
        <v>0.5</v>
      </c>
      <c r="Q20" s="38" t="n">
        <v>0</v>
      </c>
      <c r="R20" s="38" t="n">
        <v>0</v>
      </c>
      <c r="S20" s="38">
        <f>SUM(N20:R20)</f>
        <v/>
      </c>
      <c r="T20" s="38" t="inlineStr">
        <is>
          <t>未开始</t>
        </is>
      </c>
      <c r="U20" s="38" t="n">
        <v>0</v>
      </c>
      <c r="V20" s="40" t="inlineStr"/>
    </row>
    <row r="21" ht="64" customHeight="1">
      <c r="A21" s="38" t="inlineStr">
        <is>
          <t>1.16</t>
        </is>
      </c>
      <c r="B21" s="39" t="inlineStr">
        <is>
          <t>ADMIN</t>
        </is>
      </c>
      <c r="C21" s="40" t="inlineStr">
        <is>
          <t>归档执行</t>
        </is>
      </c>
      <c r="D21" s="38" t="inlineStr">
        <is>
          <t>16</t>
        </is>
      </c>
      <c r="E21" s="38" t="inlineStr">
        <is>
          <t>管理员</t>
        </is>
      </c>
      <c r="F21" s="41" t="inlineStr">
        <is>
          <t>P0</t>
        </is>
      </c>
      <c r="G21" s="40" t="inlineStr">
        <is>
          <t>Phase1 · 当前范围</t>
        </is>
      </c>
      <c r="H21" s="40" t="inlineStr">
        <is>
          <t>管理员在失败批次中选择失败任务并点击重试</t>
        </is>
      </c>
      <c r="I21" s="40" t="inlineStr">
        <is>
          <t>失败重试</t>
        </is>
      </c>
      <c r="J21" s="40" t="inlineStr">
        <is>
          <t>管理员在失败批次中选择失败任务并点击重试</t>
        </is>
      </c>
      <c r="K21" s="40" t="inlineStr">
        <is>
          <t>按批次或断点重新提交任务，记录重试次数和结果</t>
        </is>
      </c>
      <c r="L21" s="40" t="inlineStr">
        <is>
          <t>ArchiveExecutionService</t>
        </is>
      </c>
      <c r="M21" s="40" t="inlineStr">
        <is>
          <t>查看归档结果</t>
        </is>
      </c>
      <c r="N21" s="38" t="n">
        <v>0</v>
      </c>
      <c r="O21" s="38" t="n">
        <v>0.5</v>
      </c>
      <c r="P21" s="38" t="n">
        <v>0.5</v>
      </c>
      <c r="Q21" s="38" t="n">
        <v>1</v>
      </c>
      <c r="R21" s="38" t="n">
        <v>0</v>
      </c>
      <c r="S21" s="38">
        <f>SUM(N21:R21)</f>
        <v/>
      </c>
      <c r="T21" s="38" t="inlineStr">
        <is>
          <t>未开始</t>
        </is>
      </c>
      <c r="U21" s="38" t="n">
        <v>0</v>
      </c>
      <c r="V21" s="40" t="inlineStr">
        <is>
          <t>断点续传/批次级重跑</t>
        </is>
      </c>
    </row>
    <row r="22" ht="64" customHeight="1">
      <c r="A22" s="38" t="inlineStr">
        <is>
          <t>1.17</t>
        </is>
      </c>
      <c r="B22" s="39" t="inlineStr">
        <is>
          <t>ADMIN</t>
        </is>
      </c>
      <c r="C22" s="40" t="inlineStr">
        <is>
          <t>附件迁移</t>
        </is>
      </c>
      <c r="D22" s="38" t="inlineStr">
        <is>
          <t>17</t>
        </is>
      </c>
      <c r="E22" s="38" t="inlineStr">
        <is>
          <t>管理员</t>
        </is>
      </c>
      <c r="F22" s="41" t="inlineStr">
        <is>
          <t>P0</t>
        </is>
      </c>
      <c r="G22" s="40" t="inlineStr">
        <is>
          <t>Phase1 · 当前范围</t>
        </is>
      </c>
      <c r="H22" s="40" t="inlineStr">
        <is>
          <t>管理员进入附件迁移配置，填写 Blob、目录及文件类型并保存</t>
        </is>
      </c>
      <c r="I22" s="40" t="inlineStr">
        <is>
          <t>配置源系统 Blob 信息、迁移目录、文件类型</t>
        </is>
      </c>
      <c r="J22" s="40" t="inlineStr">
        <is>
          <t>管理员进入附件迁移配置，填写 Blob、目录及文件类型并保存</t>
        </is>
      </c>
      <c r="K22" s="40" t="inlineStr">
        <is>
          <t>校验配置并生成附件迁移范围</t>
        </is>
      </c>
      <c r="L22" s="40" t="inlineStr">
        <is>
          <t>AttachmentMigrationService（附件迁移服务）</t>
        </is>
      </c>
      <c r="M22" s="40" t="inlineStr">
        <is>
          <t>系统基础信息录入</t>
        </is>
      </c>
      <c r="N22" s="38" t="n">
        <v>0.5</v>
      </c>
      <c r="O22" s="38" t="n">
        <v>1</v>
      </c>
      <c r="P22" s="38" t="n">
        <v>0.5</v>
      </c>
      <c r="Q22" s="38" t="n">
        <v>0</v>
      </c>
      <c r="R22" s="38" t="n">
        <v>0.5</v>
      </c>
      <c r="S22" s="38">
        <f>SUM(N22:R22)</f>
        <v/>
      </c>
      <c r="T22" s="38" t="inlineStr">
        <is>
          <t>未开始</t>
        </is>
      </c>
      <c r="U22" s="38" t="n">
        <v>0</v>
      </c>
      <c r="V22" s="40" t="inlineStr"/>
    </row>
    <row r="23" ht="64" customHeight="1">
      <c r="A23" s="38" t="inlineStr">
        <is>
          <t>1.18</t>
        </is>
      </c>
      <c r="B23" s="39" t="inlineStr">
        <is>
          <t>ADMIN</t>
        </is>
      </c>
      <c r="C23" s="40" t="inlineStr">
        <is>
          <t>附件迁移</t>
        </is>
      </c>
      <c r="D23" s="38" t="inlineStr">
        <is>
          <t>18</t>
        </is>
      </c>
      <c r="E23" s="38" t="inlineStr">
        <is>
          <t>管理员</t>
        </is>
      </c>
      <c r="F23" s="41" t="inlineStr">
        <is>
          <t>P0</t>
        </is>
      </c>
      <c r="G23" s="40" t="inlineStr">
        <is>
          <t>Phase1 · 当前范围</t>
        </is>
      </c>
      <c r="H23" s="40" t="inlineStr">
        <is>
          <t>管理员选择附件迁移配置并点击执行</t>
        </is>
      </c>
      <c r="I23" s="40" t="inlineStr">
        <is>
          <t>执行迁移任务</t>
        </is>
      </c>
      <c r="J23" s="40" t="inlineStr">
        <is>
          <t>管理员选择附件迁移配置并点击执行</t>
        </is>
      </c>
      <c r="K23" s="40" t="inlineStr">
        <is>
          <t>调用 Azure Storage Mover，展示迁移进度、成功/失败及日志</t>
        </is>
      </c>
      <c r="L23" s="40" t="inlineStr">
        <is>
          <t>AttachmentMigrationService</t>
        </is>
      </c>
      <c r="M23" s="40" t="inlineStr">
        <is>
          <t>配置源系统 Blob 信息、迁移目录、文件类型</t>
        </is>
      </c>
      <c r="N23" s="38" t="n">
        <v>0</v>
      </c>
      <c r="O23" s="38" t="n">
        <v>0</v>
      </c>
      <c r="P23" s="38" t="n">
        <v>0.5</v>
      </c>
      <c r="Q23" s="38" t="n">
        <v>1</v>
      </c>
      <c r="R23" s="38" t="n">
        <v>0</v>
      </c>
      <c r="S23" s="38">
        <f>SUM(N23:R23)</f>
        <v/>
      </c>
      <c r="T23" s="38" t="inlineStr">
        <is>
          <t>未开始</t>
        </is>
      </c>
      <c r="U23" s="38" t="n">
        <v>0</v>
      </c>
      <c r="V23" s="40" t="inlineStr">
        <is>
          <t>Azure Storage Mover</t>
        </is>
      </c>
    </row>
    <row r="24" ht="64" customHeight="1">
      <c r="A24" s="38" t="inlineStr">
        <is>
          <t>1.19</t>
        </is>
      </c>
      <c r="B24" s="39" t="inlineStr">
        <is>
          <t>ADMIN</t>
        </is>
      </c>
      <c r="C24" s="40" t="inlineStr">
        <is>
          <t>动态查询配置</t>
        </is>
      </c>
      <c r="D24" s="38" t="inlineStr">
        <is>
          <t>19</t>
        </is>
      </c>
      <c r="E24" s="38" t="inlineStr">
        <is>
          <t>管理员</t>
        </is>
      </c>
      <c r="F24" s="41" t="inlineStr">
        <is>
          <t>P0</t>
        </is>
      </c>
      <c r="G24" s="40" t="inlineStr">
        <is>
          <t>Phase1 · 当前范围</t>
        </is>
      </c>
      <c r="H24" s="40" t="inlineStr">
        <is>
          <t>管理员进入 Dynamic Query，配置列表字段、详情字段、查询条件、附件入口并发布</t>
        </is>
      </c>
      <c r="I24" s="40" t="inlineStr">
        <is>
          <t>动态查询页面配置（Dynamic Query）</t>
        </is>
      </c>
      <c r="J24" s="40" t="inlineStr">
        <is>
          <t>管理员进入 Dynamic Query，配置列表字段、详情字段、查询条件、附件入口并发布</t>
        </is>
      </c>
      <c r="K24" s="40" t="inlineStr">
        <is>
          <t>校验配置并发布可供 End User 使用的查询页面</t>
        </is>
      </c>
      <c r="L24" s="40" t="inlineStr">
        <is>
          <t>ArchiveQueryService（归档查询服务）</t>
        </is>
      </c>
      <c r="M24" s="40" t="inlineStr">
        <is>
          <t>查看归档结果、执行迁移任务</t>
        </is>
      </c>
      <c r="N24" s="38" t="n">
        <v>2</v>
      </c>
      <c r="O24" s="38" t="n">
        <v>2</v>
      </c>
      <c r="P24" s="38" t="n">
        <v>3</v>
      </c>
      <c r="Q24" s="38" t="n">
        <v>0</v>
      </c>
      <c r="R24" s="38" t="n">
        <v>2</v>
      </c>
      <c r="S24" s="38">
        <f>SUM(N24:R24)</f>
        <v/>
      </c>
      <c r="T24" s="38" t="inlineStr">
        <is>
          <t>未开始</t>
        </is>
      </c>
      <c r="U24" s="38" t="n">
        <v>0</v>
      </c>
      <c r="V24" s="40" t="inlineStr">
        <is>
          <t>配置列表+详情查询范围，提供给 End User 直接查询；不含报表/审批流</t>
        </is>
      </c>
    </row>
    <row r="25" ht="64" customHeight="1">
      <c r="A25" s="38" t="inlineStr">
        <is>
          <t>1.20</t>
        </is>
      </c>
      <c r="B25" s="39" t="inlineStr">
        <is>
          <t>ADMIN</t>
        </is>
      </c>
      <c r="C25" s="40" t="inlineStr">
        <is>
          <t>权限管理</t>
        </is>
      </c>
      <c r="D25" s="38" t="inlineStr">
        <is>
          <t>20</t>
        </is>
      </c>
      <c r="E25" s="38" t="inlineStr">
        <is>
          <t>管理员</t>
        </is>
      </c>
      <c r="F25" s="41" t="inlineStr">
        <is>
          <t>P0</t>
        </is>
      </c>
      <c r="G25" s="40" t="inlineStr">
        <is>
          <t>Phase1 · 当前范围</t>
        </is>
      </c>
      <c r="H25" s="40" t="inlineStr">
        <is>
          <t>管理员进入权限管理，创建/编辑角色并关联用户、来源系统和菜单权限</t>
        </is>
      </c>
      <c r="I25" s="40" t="inlineStr">
        <is>
          <t>用户、角色、权限管理（设置角色权限）</t>
        </is>
      </c>
      <c r="J25" s="40" t="inlineStr">
        <is>
          <t>管理员进入权限管理，创建/编辑角色并关联用户、来源系统和菜单权限</t>
        </is>
      </c>
      <c r="K25" s="40" t="inlineStr">
        <is>
          <t>保存授权关系，登录后按权限控制菜单和数据范围</t>
        </is>
      </c>
      <c r="L25" s="40" t="inlineStr">
        <is>
          <t>AuthManagementService</t>
        </is>
      </c>
      <c r="M25" s="40" t="inlineStr">
        <is>
          <t>企业 SSO 集成</t>
        </is>
      </c>
      <c r="N25" s="38" t="n">
        <v>2</v>
      </c>
      <c r="O25" s="38" t="n">
        <v>2</v>
      </c>
      <c r="P25" s="38" t="n">
        <v>0</v>
      </c>
      <c r="Q25" s="38" t="n">
        <v>0</v>
      </c>
      <c r="R25" s="38" t="n">
        <v>0</v>
      </c>
      <c r="S25" s="38">
        <f>SUM(N25:R25)</f>
        <v/>
      </c>
      <c r="T25" s="38" t="inlineStr">
        <is>
          <t>未开始</t>
        </is>
      </c>
      <c r="U25" s="38" t="n">
        <v>0</v>
      </c>
      <c r="V25" s="40" t="inlineStr">
        <is>
          <t>来源系统与角色关联权限</t>
        </is>
      </c>
    </row>
    <row r="26" ht="64" customHeight="1">
      <c r="A26" s="38" t="inlineStr">
        <is>
          <t>1.21</t>
        </is>
      </c>
      <c r="B26" s="39" t="inlineStr">
        <is>
          <t>ADMIN</t>
        </is>
      </c>
      <c r="C26" s="40" t="inlineStr">
        <is>
          <t>权限管理</t>
        </is>
      </c>
      <c r="D26" s="38" t="inlineStr">
        <is>
          <t>21</t>
        </is>
      </c>
      <c r="E26" s="38" t="inlineStr">
        <is>
          <t>管理员</t>
        </is>
      </c>
      <c r="F26" s="41" t="inlineStr">
        <is>
          <t>P0</t>
        </is>
      </c>
      <c r="G26" s="40" t="inlineStr">
        <is>
          <t>Phase1 · 当前范围</t>
        </is>
      </c>
      <c r="H26" s="40" t="inlineStr">
        <is>
          <t>管理员查询角色、用户和权限变更记录</t>
        </is>
      </c>
      <c r="I26" s="40" t="inlineStr">
        <is>
          <t>权限操作日志</t>
        </is>
      </c>
      <c r="J26" s="40" t="inlineStr">
        <is>
          <t>管理员查询角色、用户和权限变更记录</t>
        </is>
      </c>
      <c r="K26" s="40" t="inlineStr">
        <is>
          <t>按时间、操作者和对象返回审计记录</t>
        </is>
      </c>
      <c r="L26" s="40" t="inlineStr">
        <is>
          <t>AuditService（审计服务）</t>
        </is>
      </c>
      <c r="M26" s="40" t="inlineStr">
        <is>
          <t>用户、角色、权限管理（设置角色权限）</t>
        </is>
      </c>
      <c r="N26" s="38" t="n">
        <v>0</v>
      </c>
      <c r="O26" s="38" t="n">
        <v>0</v>
      </c>
      <c r="P26" s="38" t="n">
        <v>0.5</v>
      </c>
      <c r="Q26" s="38" t="n">
        <v>0</v>
      </c>
      <c r="R26" s="38" t="n">
        <v>0</v>
      </c>
      <c r="S26" s="38">
        <f>SUM(N26:R26)</f>
        <v/>
      </c>
      <c r="T26" s="38" t="inlineStr">
        <is>
          <t>未开始</t>
        </is>
      </c>
      <c r="U26" s="38" t="n">
        <v>0</v>
      </c>
      <c r="V26" s="40" t="inlineStr">
        <is>
          <t>记录权限变更日志</t>
        </is>
      </c>
    </row>
    <row r="27" ht="64" customHeight="1">
      <c r="A27" s="38" t="inlineStr">
        <is>
          <t>1.22</t>
        </is>
      </c>
      <c r="B27" s="39" t="inlineStr">
        <is>
          <t>ADMIN</t>
        </is>
      </c>
      <c r="C27" s="40" t="inlineStr">
        <is>
          <t>生命周期管理</t>
        </is>
      </c>
      <c r="D27" s="38" t="inlineStr">
        <is>
          <t>22</t>
        </is>
      </c>
      <c r="E27" s="38" t="inlineStr">
        <is>
          <t>管理员</t>
        </is>
      </c>
      <c r="F27" s="42" t="inlineStr">
        <is>
          <t>P1</t>
        </is>
      </c>
      <c r="G27" s="40" t="inlineStr">
        <is>
          <t>Phase1 · 当前范围</t>
        </is>
      </c>
      <c r="H27" s="40" t="inlineStr">
        <is>
          <t>管理员发起删除前查看系统保留期限校验结果</t>
        </is>
      </c>
      <c r="I27" s="40" t="inlineStr">
        <is>
          <t>保留期限校验</t>
        </is>
      </c>
      <c r="J27" s="40" t="inlineStr">
        <is>
          <t>管理员发起删除前查看系统保留期限校验结果</t>
        </is>
      </c>
      <c r="K27" s="40" t="inlineStr">
        <is>
          <t>根据配置判断数据是否满足可删除条件并给出阻断原因</t>
        </is>
      </c>
      <c r="L27" s="40" t="inlineStr">
        <is>
          <t>LifecycleManagementService</t>
        </is>
      </c>
      <c r="M27" s="40" t="inlineStr">
        <is>
          <t>数据保留期限设置、用户、角色、权限管理（设置角色权限）</t>
        </is>
      </c>
      <c r="N27" s="38" t="n">
        <v>0</v>
      </c>
      <c r="O27" s="38" t="n">
        <v>0</v>
      </c>
      <c r="P27" s="38" t="n">
        <v>0.5</v>
      </c>
      <c r="Q27" s="38" t="n">
        <v>0</v>
      </c>
      <c r="R27" s="38" t="n">
        <v>0</v>
      </c>
      <c r="S27" s="38">
        <f>SUM(N27:R27)</f>
        <v/>
      </c>
      <c r="T27" s="38" t="inlineStr">
        <is>
          <t>未开始</t>
        </is>
      </c>
      <c r="U27" s="38" t="n">
        <v>0</v>
      </c>
      <c r="V27" s="40" t="inlineStr">
        <is>
          <t>根据配置的保留时间校验是否可删</t>
        </is>
      </c>
    </row>
    <row r="28" ht="64" customHeight="1">
      <c r="A28" s="38" t="inlineStr">
        <is>
          <t>1.23</t>
        </is>
      </c>
      <c r="B28" s="39" t="inlineStr">
        <is>
          <t>ADMIN</t>
        </is>
      </c>
      <c r="C28" s="40" t="inlineStr">
        <is>
          <t>生命周期管理</t>
        </is>
      </c>
      <c r="D28" s="38" t="inlineStr">
        <is>
          <t>23</t>
        </is>
      </c>
      <c r="E28" s="38" t="inlineStr">
        <is>
          <t>管理员</t>
        </is>
      </c>
      <c r="F28" s="42" t="inlineStr">
        <is>
          <t>P1</t>
        </is>
      </c>
      <c r="G28" s="40" t="inlineStr">
        <is>
          <t>Phase1 · 当前范围</t>
        </is>
      </c>
      <c r="H28" s="40" t="inlineStr">
        <is>
          <t>管理员确认删除范围、查看数据量并执行删除</t>
        </is>
      </c>
      <c r="I28" s="40" t="inlineStr">
        <is>
          <t>数据删除</t>
        </is>
      </c>
      <c r="J28" s="40" t="inlineStr">
        <is>
          <t>管理员确认删除范围、查看数据量并执行删除</t>
        </is>
      </c>
      <c r="K28" s="40" t="inlineStr">
        <is>
          <t>二次确认后调用 Databricks Job 删除数据，记录不可恢复操作</t>
        </is>
      </c>
      <c r="L28" s="40" t="inlineStr">
        <is>
          <t>LifecycleManagementService</t>
        </is>
      </c>
      <c r="M28" s="40" t="inlineStr">
        <is>
          <t>保留期限校验</t>
        </is>
      </c>
      <c r="N28" s="38" t="n">
        <v>1</v>
      </c>
      <c r="O28" s="38" t="n">
        <v>1.5</v>
      </c>
      <c r="P28" s="38" t="n">
        <v>2</v>
      </c>
      <c r="Q28" s="38" t="n">
        <v>2</v>
      </c>
      <c r="R28" s="38" t="n">
        <v>2</v>
      </c>
      <c r="S28" s="38">
        <f>SUM(N28:R28)</f>
        <v/>
      </c>
      <c r="T28" s="38" t="inlineStr">
        <is>
          <t>未开始</t>
        </is>
      </c>
      <c r="U28" s="38" t="n">
        <v>0</v>
      </c>
      <c r="V28" s="40" t="inlineStr">
        <is>
          <t>调用 Databricks Job 执行删除</t>
        </is>
      </c>
    </row>
    <row r="29" ht="64" customHeight="1">
      <c r="A29" s="38" t="inlineStr">
        <is>
          <t>1.24</t>
        </is>
      </c>
      <c r="B29" s="39" t="inlineStr">
        <is>
          <t>ADMIN</t>
        </is>
      </c>
      <c r="C29" s="40" t="inlineStr">
        <is>
          <t>生命周期管理</t>
        </is>
      </c>
      <c r="D29" s="38" t="inlineStr">
        <is>
          <t>24</t>
        </is>
      </c>
      <c r="E29" s="38" t="inlineStr">
        <is>
          <t>管理员</t>
        </is>
      </c>
      <c r="F29" s="42" t="inlineStr">
        <is>
          <t>P1</t>
        </is>
      </c>
      <c r="G29" s="40" t="inlineStr">
        <is>
          <t>Phase1 · 当前范围</t>
        </is>
      </c>
      <c r="H29" s="40" t="inlineStr">
        <is>
          <t>管理员进入删除操作前查看提示并确认</t>
        </is>
      </c>
      <c r="I29" s="40" t="inlineStr">
        <is>
          <t>删除提示、删除日志记录</t>
        </is>
      </c>
      <c r="J29" s="40" t="inlineStr">
        <is>
          <t>管理员进入删除操作前查看提示并确认</t>
        </is>
      </c>
      <c r="K29" s="40" t="inlineStr">
        <is>
          <t>多次提醒不可恢复风险，展示待删除数据量并记录删除日志</t>
        </is>
      </c>
      <c r="L29" s="40" t="inlineStr">
        <is>
          <t>AuditService</t>
        </is>
      </c>
      <c r="M29" s="40" t="inlineStr">
        <is>
          <t>数据删除</t>
        </is>
      </c>
      <c r="N29" s="38" t="n">
        <v>0</v>
      </c>
      <c r="O29" s="38" t="n">
        <v>0.5</v>
      </c>
      <c r="P29" s="38" t="n">
        <v>0.5</v>
      </c>
      <c r="Q29" s="38" t="n">
        <v>0</v>
      </c>
      <c r="R29" s="38" t="n">
        <v>0</v>
      </c>
      <c r="S29" s="38">
        <f>SUM(N29:R29)</f>
        <v/>
      </c>
      <c r="T29" s="38" t="inlineStr">
        <is>
          <t>未开始</t>
        </is>
      </c>
      <c r="U29" s="38" t="n">
        <v>0</v>
      </c>
      <c r="V29" s="40" t="inlineStr">
        <is>
          <t>多次提醒不可恢复并显示删除数据量</t>
        </is>
      </c>
    </row>
    <row r="30" ht="64" customHeight="1">
      <c r="A30" s="38" t="inlineStr">
        <is>
          <t>1.25</t>
        </is>
      </c>
      <c r="B30" s="39" t="inlineStr">
        <is>
          <t>ADMIN</t>
        </is>
      </c>
      <c r="C30" s="40" t="inlineStr">
        <is>
          <t>归档系统查询</t>
        </is>
      </c>
      <c r="D30" s="38" t="inlineStr">
        <is>
          <t>25</t>
        </is>
      </c>
      <c r="E30" s="38" t="inlineStr">
        <is>
          <t>管理员</t>
        </is>
      </c>
      <c r="F30" s="42" t="inlineStr">
        <is>
          <t>P1</t>
        </is>
      </c>
      <c r="G30" s="40" t="inlineStr">
        <is>
          <t>Phase1 · 当前范围</t>
        </is>
      </c>
      <c r="H30" s="40" t="inlineStr">
        <is>
          <t>管理员在归档系统查询中输入系统名称/业务时间并点击查询</t>
        </is>
      </c>
      <c r="I30" s="40" t="inlineStr">
        <is>
          <t>按系统名称、业务时间查询</t>
        </is>
      </c>
      <c r="J30" s="40" t="inlineStr">
        <is>
          <t>管理员在归档系统查询中输入系统名称/业务时间并点击查询</t>
        </is>
      </c>
      <c r="K30" s="40" t="inlineStr">
        <is>
          <t>返回匹配来源系统和归档范围</t>
        </is>
      </c>
      <c r="L30" s="40" t="inlineStr">
        <is>
          <t>SourceSystemManagementService</t>
        </is>
      </c>
      <c r="M30" s="40" t="inlineStr">
        <is>
          <t>归档批次管理（UI）</t>
        </is>
      </c>
      <c r="N30" s="38" t="n">
        <v>0.5</v>
      </c>
      <c r="O30" s="38" t="n">
        <v>0.5</v>
      </c>
      <c r="P30" s="38" t="n">
        <v>0.5</v>
      </c>
      <c r="Q30" s="38" t="n">
        <v>0</v>
      </c>
      <c r="R30" s="38" t="n">
        <v>0.5</v>
      </c>
      <c r="S30" s="38">
        <f>SUM(N30:R30)</f>
        <v/>
      </c>
      <c r="T30" s="38" t="inlineStr">
        <is>
          <t>未开始</t>
        </is>
      </c>
      <c r="U30" s="38" t="n">
        <v>0</v>
      </c>
      <c r="V30" s="40" t="inlineStr">
        <is>
          <t>管理视角：查"归档了哪些系统"</t>
        </is>
      </c>
    </row>
    <row r="31" ht="64" customHeight="1">
      <c r="A31" s="38" t="inlineStr">
        <is>
          <t>1.26</t>
        </is>
      </c>
      <c r="B31" s="39" t="inlineStr">
        <is>
          <t>ADMIN</t>
        </is>
      </c>
      <c r="C31" s="40" t="inlineStr">
        <is>
          <t>归档系统查询</t>
        </is>
      </c>
      <c r="D31" s="38" t="inlineStr">
        <is>
          <t>26</t>
        </is>
      </c>
      <c r="E31" s="38" t="inlineStr">
        <is>
          <t>管理员</t>
        </is>
      </c>
      <c r="F31" s="42" t="inlineStr">
        <is>
          <t>P1</t>
        </is>
      </c>
      <c r="G31" s="40" t="inlineStr">
        <is>
          <t>Phase1 · 当前范围</t>
        </is>
      </c>
      <c r="H31" s="40" t="inlineStr">
        <is>
          <t>管理员打开来源系统下的批次列表</t>
        </is>
      </c>
      <c r="I31" s="40" t="inlineStr">
        <is>
          <t>归档批次展示</t>
        </is>
      </c>
      <c r="J31" s="40" t="inlineStr">
        <is>
          <t>管理员打开来源系统下的批次列表</t>
        </is>
      </c>
      <c r="K31" s="40" t="inlineStr">
        <is>
          <t>展示批次状态、时间、数据范围和结果入口</t>
        </is>
      </c>
      <c r="L31" s="40" t="inlineStr">
        <is>
          <t>SourceSystemManagementService</t>
        </is>
      </c>
      <c r="M31" s="40" t="inlineStr">
        <is>
          <t>按系统名称、业务时间查询</t>
        </is>
      </c>
      <c r="N31" s="38" t="n">
        <v>0</v>
      </c>
      <c r="O31" s="38" t="n">
        <v>0.5</v>
      </c>
      <c r="P31" s="38" t="n">
        <v>0.5</v>
      </c>
      <c r="Q31" s="38" t="n">
        <v>0</v>
      </c>
      <c r="R31" s="38" t="n">
        <v>0</v>
      </c>
      <c r="S31" s="38">
        <f>SUM(N31:R31)</f>
        <v/>
      </c>
      <c r="T31" s="38" t="inlineStr">
        <is>
          <t>未开始</t>
        </is>
      </c>
      <c r="U31" s="38" t="n">
        <v>0</v>
      </c>
      <c r="V31" s="40" t="inlineStr"/>
    </row>
    <row r="32" ht="64" customHeight="1">
      <c r="A32" s="38" t="inlineStr">
        <is>
          <t>1.27</t>
        </is>
      </c>
      <c r="B32" s="39" t="inlineStr">
        <is>
          <t>ADMIN</t>
        </is>
      </c>
      <c r="C32" s="40" t="inlineStr">
        <is>
          <t>归档系统查询</t>
        </is>
      </c>
      <c r="D32" s="38" t="inlineStr">
        <is>
          <t>27</t>
        </is>
      </c>
      <c r="E32" s="38" t="inlineStr">
        <is>
          <t>管理员</t>
        </is>
      </c>
      <c r="F32" s="42" t="inlineStr">
        <is>
          <t>P1</t>
        </is>
      </c>
      <c r="G32" s="40" t="inlineStr">
        <is>
          <t>Phase1 · 当前范围</t>
        </is>
      </c>
      <c r="H32" s="40" t="inlineStr">
        <is>
          <t>管理员选择归档系统并查看已归档表及字段结构</t>
        </is>
      </c>
      <c r="I32" s="40" t="inlineStr">
        <is>
          <t>表结构查询</t>
        </is>
      </c>
      <c r="J32" s="40" t="inlineStr">
        <is>
          <t>管理员选择归档系统并查看已归档表及字段结构</t>
        </is>
      </c>
      <c r="K32" s="40" t="inlineStr">
        <is>
          <t>展示归档后的表、字段和数据类型</t>
        </is>
      </c>
      <c r="L32" s="40" t="inlineStr">
        <is>
          <t>SourceSystemManagementService</t>
        </is>
      </c>
      <c r="M32" s="40" t="inlineStr">
        <is>
          <t>拉取源数据库表结构</t>
        </is>
      </c>
      <c r="N32" s="38" t="n">
        <v>0</v>
      </c>
      <c r="O32" s="38" t="n">
        <v>0.5</v>
      </c>
      <c r="P32" s="38" t="n">
        <v>0.5</v>
      </c>
      <c r="Q32" s="38" t="n">
        <v>0</v>
      </c>
      <c r="R32" s="38" t="n">
        <v>0</v>
      </c>
      <c r="S32" s="38">
        <f>SUM(N32:R32)</f>
        <v/>
      </c>
      <c r="T32" s="38" t="inlineStr">
        <is>
          <t>未开始</t>
        </is>
      </c>
      <c r="U32" s="38" t="n">
        <v>0</v>
      </c>
      <c r="V32" s="40" t="inlineStr"/>
    </row>
    <row r="33" ht="64" customHeight="1">
      <c r="A33" s="38" t="inlineStr">
        <is>
          <t>1.28</t>
        </is>
      </c>
      <c r="B33" s="39" t="inlineStr">
        <is>
          <t>ADMIN</t>
        </is>
      </c>
      <c r="C33" s="40" t="inlineStr">
        <is>
          <t>日志查询</t>
        </is>
      </c>
      <c r="D33" s="38" t="inlineStr">
        <is>
          <t>28</t>
        </is>
      </c>
      <c r="E33" s="38" t="inlineStr">
        <is>
          <t>管理员</t>
        </is>
      </c>
      <c r="F33" s="42" t="inlineStr">
        <is>
          <t>P1</t>
        </is>
      </c>
      <c r="G33" s="40" t="inlineStr">
        <is>
          <t>Phase1 · 当前范围</t>
        </is>
      </c>
      <c r="H33" s="40" t="inlineStr">
        <is>
          <t>管理员进入日志查询，按用户、时间、系统和操作类型筛选</t>
        </is>
      </c>
      <c r="I33" s="40" t="inlineStr">
        <is>
          <t>查询日志</t>
        </is>
      </c>
      <c r="J33" s="40" t="inlineStr">
        <is>
          <t>管理员进入日志查询，按用户、时间、系统和操作类型筛选</t>
        </is>
      </c>
      <c r="K33" s="40" t="inlineStr">
        <is>
          <t>返回查询、导出和管理操作日志；与 End User 查询联动记录</t>
        </is>
      </c>
      <c r="L33" s="40" t="inlineStr">
        <is>
          <t>AuditService</t>
        </is>
      </c>
      <c r="M33" s="40" t="inlineStr">
        <is>
          <t>企业 SSO 集成</t>
        </is>
      </c>
      <c r="N33" s="38" t="n">
        <v>0</v>
      </c>
      <c r="O33" s="38" t="n">
        <v>0.5</v>
      </c>
      <c r="P33" s="38" t="n">
        <v>0.5</v>
      </c>
      <c r="Q33" s="38" t="n">
        <v>0</v>
      </c>
      <c r="R33" s="38" t="n">
        <v>0</v>
      </c>
      <c r="S33" s="38">
        <f>SUM(N33:R33)</f>
        <v/>
      </c>
      <c r="T33" s="38" t="inlineStr">
        <is>
          <t>未开始</t>
        </is>
      </c>
      <c r="U33" s="38" t="n">
        <v>0</v>
      </c>
      <c r="V33" s="40" t="inlineStr">
        <is>
          <t>查询行为日志（与 E2 查询联动记录）</t>
        </is>
      </c>
    </row>
    <row r="34" ht="64" customHeight="1">
      <c r="A34" s="38" t="inlineStr">
        <is>
          <t>2.29</t>
        </is>
      </c>
      <c r="B34" s="43" t="inlineStr">
        <is>
          <t>End User</t>
        </is>
      </c>
      <c r="C34" s="44" t="inlineStr">
        <is>
          <t>登录</t>
        </is>
      </c>
      <c r="D34" s="38" t="inlineStr">
        <is>
          <t>1</t>
        </is>
      </c>
      <c r="E34" s="38" t="inlineStr">
        <is>
          <t>终端用户</t>
        </is>
      </c>
      <c r="F34" s="41" t="inlineStr">
        <is>
          <t>P0</t>
        </is>
      </c>
      <c r="G34" s="40" t="inlineStr">
        <is>
          <t>Phase1 · 当前范围</t>
        </is>
      </c>
      <c r="H34" s="40" t="inlineStr">
        <is>
          <t>终端用户进入系统登录页并通过企业 SSO 登录</t>
        </is>
      </c>
      <c r="I34" s="40" t="inlineStr">
        <is>
          <t>登录（复用 ADMIN SSO）</t>
        </is>
      </c>
      <c r="J34" s="40" t="inlineStr">
        <is>
          <t>终端用户进入系统登录页并通过企业 SSO 登录</t>
        </is>
      </c>
      <c r="K34" s="40" t="inlineStr">
        <is>
          <t>复用 ADMIN SSO 会话，加载终端用户查询菜单，不重复建设认证能力</t>
        </is>
      </c>
      <c r="L34" s="40" t="inlineStr">
        <is>
          <t>AuthManagementService</t>
        </is>
      </c>
      <c r="M34" s="40" t="inlineStr">
        <is>
          <t>企业 SSO 集成</t>
        </is>
      </c>
      <c r="N34" s="38" t="n">
        <v>0</v>
      </c>
      <c r="O34" s="38" t="n">
        <v>0</v>
      </c>
      <c r="P34" s="38" t="n">
        <v>0</v>
      </c>
      <c r="Q34" s="38" t="n">
        <v>0</v>
      </c>
      <c r="R34" s="38" t="n">
        <v>0</v>
      </c>
      <c r="S34" s="38">
        <f>SUM(N34:R34)</f>
        <v/>
      </c>
      <c r="T34" s="38" t="inlineStr">
        <is>
          <t>未开始</t>
        </is>
      </c>
      <c r="U34" s="38" t="n">
        <v>0</v>
      </c>
      <c r="V34" s="40" t="inlineStr">
        <is>
          <t>SSO 集成已计入 ADMIN 步骤 1</t>
        </is>
      </c>
    </row>
    <row r="35" ht="64" customHeight="1">
      <c r="A35" s="38" t="inlineStr">
        <is>
          <t>2.30</t>
        </is>
      </c>
      <c r="B35" s="43" t="inlineStr">
        <is>
          <t>End User</t>
        </is>
      </c>
      <c r="C35" s="44" t="inlineStr">
        <is>
          <t>归档数据查询</t>
        </is>
      </c>
      <c r="D35" s="38" t="inlineStr">
        <is>
          <t>2</t>
        </is>
      </c>
      <c r="E35" s="38" t="inlineStr">
        <is>
          <t>终端用户</t>
        </is>
      </c>
      <c r="F35" s="41" t="inlineStr">
        <is>
          <t>P0</t>
        </is>
      </c>
      <c r="G35" s="40" t="inlineStr">
        <is>
          <t>Phase1 · 当前范围</t>
        </is>
      </c>
      <c r="H35" s="40" t="inlineStr">
        <is>
          <t>终端用户登录后进入归档数据查询，选择 Dynamic Query 条件并点击查询</t>
        </is>
      </c>
      <c r="I35" s="40" t="inlineStr">
        <is>
          <t>列表展示（按已配置的 Dynamic Query）</t>
        </is>
      </c>
      <c r="J35" s="40" t="inlineStr">
        <is>
          <t>终端用户登录后进入归档数据查询，选择 Dynamic Query 条件并点击查询</t>
        </is>
      </c>
      <c r="K35" s="40" t="inlineStr">
        <is>
          <t>按管理员发布的查询范围返回分页列表，应用数据权限</t>
        </is>
      </c>
      <c r="L35" s="40" t="inlineStr">
        <is>
          <t>ArchiveQueryService</t>
        </is>
      </c>
      <c r="M35" s="40" t="inlineStr">
        <is>
          <t>动态查询页面配置、用户、角色、权限管理（设置角色权限）</t>
        </is>
      </c>
      <c r="N35" s="38" t="n">
        <v>0</v>
      </c>
      <c r="O35" s="38" t="n">
        <v>1</v>
      </c>
      <c r="P35" s="38" t="n">
        <v>1</v>
      </c>
      <c r="Q35" s="38" t="n">
        <v>1</v>
      </c>
      <c r="R35" s="38" t="n">
        <v>0</v>
      </c>
      <c r="S35" s="38">
        <f>SUM(N35:R35)</f>
        <v/>
      </c>
      <c r="T35" s="38" t="inlineStr">
        <is>
          <t>未开始</t>
        </is>
      </c>
      <c r="U35" s="38" t="n">
        <v>0</v>
      </c>
      <c r="V35" s="40" t="inlineStr">
        <is>
          <t>使用管理员配置的查询范围</t>
        </is>
      </c>
    </row>
    <row r="36" ht="64" customHeight="1">
      <c r="A36" s="38" t="inlineStr">
        <is>
          <t>2.31</t>
        </is>
      </c>
      <c r="B36" s="43" t="inlineStr">
        <is>
          <t>End User</t>
        </is>
      </c>
      <c r="C36" s="44" t="inlineStr">
        <is>
          <t>归档数据查询</t>
        </is>
      </c>
      <c r="D36" s="38" t="inlineStr">
        <is>
          <t>3</t>
        </is>
      </c>
      <c r="E36" s="38" t="inlineStr">
        <is>
          <t>终端用户</t>
        </is>
      </c>
      <c r="F36" s="41" t="inlineStr">
        <is>
          <t>P0</t>
        </is>
      </c>
      <c r="G36" s="40" t="inlineStr">
        <is>
          <t>Phase1 · 当前范围</t>
        </is>
      </c>
      <c r="H36" s="40" t="inlineStr">
        <is>
          <t>终端用户在列表中点击一条记录进入详情</t>
        </is>
      </c>
      <c r="I36" s="40" t="inlineStr">
        <is>
          <t>详情展示</t>
        </is>
      </c>
      <c r="J36" s="40" t="inlineStr">
        <is>
          <t>终端用户在列表中点击一条记录进入详情</t>
        </is>
      </c>
      <c r="K36" s="40" t="inlineStr">
        <is>
          <t>展示字段详情、脱敏结果及关联信息</t>
        </is>
      </c>
      <c r="L36" s="40" t="inlineStr">
        <is>
          <t>ArchiveQueryService</t>
        </is>
      </c>
      <c r="M36" s="40" t="inlineStr">
        <is>
          <t>列表展示（按已配置的 Dynamic Query）</t>
        </is>
      </c>
      <c r="N36" s="38" t="n">
        <v>0</v>
      </c>
      <c r="O36" s="38" t="n">
        <v>1</v>
      </c>
      <c r="P36" s="38" t="n">
        <v>1</v>
      </c>
      <c r="Q36" s="38" t="n">
        <v>1</v>
      </c>
      <c r="R36" s="38" t="n">
        <v>0</v>
      </c>
      <c r="S36" s="38">
        <f>SUM(N36:R36)</f>
        <v/>
      </c>
      <c r="T36" s="38" t="inlineStr">
        <is>
          <t>未开始</t>
        </is>
      </c>
      <c r="U36" s="38" t="n">
        <v>0</v>
      </c>
      <c r="V36" s="40" t="inlineStr"/>
    </row>
    <row r="37" ht="64" customHeight="1">
      <c r="A37" s="38" t="inlineStr">
        <is>
          <t>2.32</t>
        </is>
      </c>
      <c r="B37" s="43" t="inlineStr">
        <is>
          <t>End User</t>
        </is>
      </c>
      <c r="C37" s="44" t="inlineStr">
        <is>
          <t>归档数据查询</t>
        </is>
      </c>
      <c r="D37" s="38" t="inlineStr">
        <is>
          <t>4</t>
        </is>
      </c>
      <c r="E37" s="38" t="inlineStr">
        <is>
          <t>终端用户</t>
        </is>
      </c>
      <c r="F37" s="41" t="inlineStr">
        <is>
          <t>P0</t>
        </is>
      </c>
      <c r="G37" s="40" t="inlineStr">
        <is>
          <t>Phase1 · 当前范围</t>
        </is>
      </c>
      <c r="H37" s="40" t="inlineStr">
        <is>
          <t>终端用户在详情页点击附件预览/下载</t>
        </is>
      </c>
      <c r="I37" s="40" t="inlineStr">
        <is>
          <t>附件展示</t>
        </is>
      </c>
      <c r="J37" s="40" t="inlineStr">
        <is>
          <t>终端用户在详情页点击附件预览/下载</t>
        </is>
      </c>
      <c r="K37" s="40" t="inlineStr">
        <is>
          <t>通过 SAS 链接访问归档 Blob，支持预览或下载并记录操作</t>
        </is>
      </c>
      <c r="L37" s="40" t="inlineStr">
        <is>
          <t>ArchiveQueryService</t>
        </is>
      </c>
      <c r="M37" s="40" t="inlineStr">
        <is>
          <t>详情展示、执行迁移任务</t>
        </is>
      </c>
      <c r="N37" s="38" t="n">
        <v>0</v>
      </c>
      <c r="O37" s="38" t="n">
        <v>1</v>
      </c>
      <c r="P37" s="38" t="n">
        <v>2</v>
      </c>
      <c r="Q37" s="38" t="n">
        <v>0</v>
      </c>
      <c r="R37" s="38" t="n">
        <v>0</v>
      </c>
      <c r="S37" s="38">
        <f>SUM(N37:R37)</f>
        <v/>
      </c>
      <c r="T37" s="38" t="inlineStr">
        <is>
          <t>未开始</t>
        </is>
      </c>
      <c r="U37" s="38" t="n">
        <v>0</v>
      </c>
      <c r="V37" s="40" t="inlineStr">
        <is>
          <t>SAS 链接直连预览/下载</t>
        </is>
      </c>
    </row>
    <row r="38" ht="64" customHeight="1">
      <c r="A38" s="38" t="inlineStr">
        <is>
          <t>3.33</t>
        </is>
      </c>
      <c r="B38" s="45" t="inlineStr">
        <is>
          <t>工程支撑</t>
        </is>
      </c>
      <c r="C38" s="46" t="inlineStr">
        <is>
          <t>DevOps 流水线</t>
        </is>
      </c>
      <c r="D38" s="38" t="inlineStr">
        <is>
          <t>—</t>
        </is>
      </c>
      <c r="E38" s="38" t="inlineStr">
        <is>
          <t>项目团队/工程人员</t>
        </is>
      </c>
      <c r="F38" s="42" t="inlineStr">
        <is>
          <t>P1</t>
        </is>
      </c>
      <c r="G38" s="40" t="inlineStr">
        <is>
          <t>工程支撑 · 当前范围</t>
        </is>
      </c>
      <c r="H38" s="40" t="inlineStr">
        <is>
          <t>工程人员根据环境清单申请应用、数据库、缓存、Key Vault、Databricks 等资源</t>
        </is>
      </c>
      <c r="I38" s="40" t="inlineStr">
        <is>
          <t>资源申请</t>
        </is>
      </c>
      <c r="J38" s="40" t="inlineStr">
        <is>
          <t>工程人员根据环境清单申请应用、数据库、缓存、Key Vault、Databricks 等资源</t>
        </is>
      </c>
      <c r="K38" s="40" t="inlineStr">
        <is>
          <t>资源准备完成并输出环境访问信息</t>
        </is>
      </c>
      <c r="L38" s="40" t="inlineStr">
        <is>
          <t>AppResource</t>
        </is>
      </c>
      <c r="M38" s="40" t="inlineStr">
        <is>
          <t>—</t>
        </is>
      </c>
      <c r="N38" s="38" t="n">
        <v>0</v>
      </c>
      <c r="O38" s="38" t="n">
        <v>0</v>
      </c>
      <c r="P38" s="38" t="n">
        <v>2</v>
      </c>
      <c r="Q38" s="38" t="n">
        <v>0</v>
      </c>
      <c r="R38" s="38" t="n">
        <v>0</v>
      </c>
      <c r="S38" s="38">
        <f>SUM(N38:R38)</f>
        <v/>
      </c>
      <c r="T38" s="38" t="inlineStr">
        <is>
          <t>未开始</t>
        </is>
      </c>
      <c r="U38" s="38" t="n">
        <v>0</v>
      </c>
      <c r="V38" s="40" t="inlineStr">
        <is>
          <t>平台团队协同</t>
        </is>
      </c>
    </row>
    <row r="39" ht="64" customHeight="1">
      <c r="A39" s="38" t="inlineStr">
        <is>
          <t>3.34</t>
        </is>
      </c>
      <c r="B39" s="45" t="inlineStr">
        <is>
          <t>工程支撑</t>
        </is>
      </c>
      <c r="C39" s="46" t="inlineStr">
        <is>
          <t>DevOps 流水线</t>
        </is>
      </c>
      <c r="D39" s="38" t="inlineStr">
        <is>
          <t>—</t>
        </is>
      </c>
      <c r="E39" s="38" t="inlineStr">
        <is>
          <t>项目团队/工程人员</t>
        </is>
      </c>
      <c r="F39" s="42" t="inlineStr">
        <is>
          <t>P1</t>
        </is>
      </c>
      <c r="G39" s="40" t="inlineStr">
        <is>
          <t>工程支撑 · 当前范围</t>
        </is>
      </c>
      <c r="H39" s="40" t="inlineStr">
        <is>
          <t>工程人员配置构建、测试、发布流水线</t>
        </is>
      </c>
      <c r="I39" s="40" t="inlineStr">
        <is>
          <t>流水线代码编写</t>
        </is>
      </c>
      <c r="J39" s="40" t="inlineStr">
        <is>
          <t>工程人员配置构建、测试、发布流水线</t>
        </is>
      </c>
      <c r="K39" s="40" t="inlineStr">
        <is>
          <t>自动执行构建、测试、部署并保留发布记录</t>
        </is>
      </c>
      <c r="L39" s="40" t="inlineStr">
        <is>
          <t>Pipeline Code</t>
        </is>
      </c>
      <c r="M39" s="40" t="inlineStr">
        <is>
          <t>资源申请</t>
        </is>
      </c>
      <c r="N39" s="38" t="n">
        <v>0</v>
      </c>
      <c r="O39" s="38" t="n">
        <v>0</v>
      </c>
      <c r="P39" s="38" t="n">
        <v>1</v>
      </c>
      <c r="Q39" s="38" t="n">
        <v>0</v>
      </c>
      <c r="R39" s="38" t="n">
        <v>0</v>
      </c>
      <c r="S39" s="38">
        <f>SUM(N39:R39)</f>
        <v/>
      </c>
      <c r="T39" s="38" t="inlineStr">
        <is>
          <t>未开始</t>
        </is>
      </c>
      <c r="U39" s="38" t="n">
        <v>0</v>
      </c>
      <c r="V39" s="40" t="inlineStr">
        <is>
          <t>Azure DevOps CI/CD</t>
        </is>
      </c>
    </row>
    <row r="40" ht="64" customHeight="1">
      <c r="A40" s="38" t="inlineStr">
        <is>
          <t>3.35</t>
        </is>
      </c>
      <c r="B40" s="45" t="inlineStr">
        <is>
          <t>工程支撑</t>
        </is>
      </c>
      <c r="C40" s="46" t="inlineStr">
        <is>
          <t>DevOps 流水线</t>
        </is>
      </c>
      <c r="D40" s="38" t="inlineStr">
        <is>
          <t>—</t>
        </is>
      </c>
      <c r="E40" s="38" t="inlineStr">
        <is>
          <t>项目团队/工程人员</t>
        </is>
      </c>
      <c r="F40" s="42" t="inlineStr">
        <is>
          <t>P1</t>
        </is>
      </c>
      <c r="G40" s="40" t="inlineStr">
        <is>
          <t>工程支撑 · 当前范围</t>
        </is>
      </c>
      <c r="H40" s="40" t="inlineStr">
        <is>
          <t>工程人员验证 Key Vault、SQL Server、Redis、Databricks 等连接</t>
        </is>
      </c>
      <c r="I40" s="40" t="inlineStr">
        <is>
          <t>云资源集成测试</t>
        </is>
      </c>
      <c r="J40" s="40" t="inlineStr">
        <is>
          <t>工程人员验证 Key Vault、SQL Server、Redis、Databricks 等连接</t>
        </is>
      </c>
      <c r="K40" s="40" t="inlineStr">
        <is>
          <t>返回集成测试结果并记录异常</t>
        </is>
      </c>
      <c r="L40" s="40" t="inlineStr">
        <is>
          <t>KeyVault/SqlServer/Redis/Databricks</t>
        </is>
      </c>
      <c r="M40" s="40" t="inlineStr">
        <is>
          <t>资源申请、流水线代码编写</t>
        </is>
      </c>
      <c r="N40" s="38" t="n">
        <v>0</v>
      </c>
      <c r="O40" s="38" t="n">
        <v>0</v>
      </c>
      <c r="P40" s="38" t="n">
        <v>1</v>
      </c>
      <c r="Q40" s="38" t="n">
        <v>0</v>
      </c>
      <c r="R40" s="38" t="n">
        <v>0</v>
      </c>
      <c r="S40" s="38">
        <f>SUM(N40:R40)</f>
        <v/>
      </c>
      <c r="T40" s="38" t="inlineStr">
        <is>
          <t>未开始</t>
        </is>
      </c>
      <c r="U40" s="38" t="n">
        <v>0</v>
      </c>
      <c r="V40" s="40" t="inlineStr"/>
    </row>
    <row r="41" ht="64" customHeight="1">
      <c r="A41" s="38" t="inlineStr">
        <is>
          <t>3.36</t>
        </is>
      </c>
      <c r="B41" s="45" t="inlineStr">
        <is>
          <t>工程支撑</t>
        </is>
      </c>
      <c r="C41" s="46" t="inlineStr">
        <is>
          <t>SLC 文档</t>
        </is>
      </c>
      <c r="D41" s="38" t="inlineStr">
        <is>
          <t>—</t>
        </is>
      </c>
      <c r="E41" s="38" t="inlineStr">
        <is>
          <t>项目团队/工程人员</t>
        </is>
      </c>
      <c r="F41" s="42" t="inlineStr">
        <is>
          <t>P1</t>
        </is>
      </c>
      <c r="G41" s="40" t="inlineStr">
        <is>
          <t>工程支撑 · 当前范围</t>
        </is>
      </c>
      <c r="H41" s="40" t="inlineStr">
        <is>
          <t>项目团队编写并评审 ADD 文档</t>
        </is>
      </c>
      <c r="I41" s="40" t="inlineStr">
        <is>
          <t>ADD（架构与设计文档）</t>
        </is>
      </c>
      <c r="J41" s="40" t="inlineStr">
        <is>
          <t>项目团队编写并评审 ADD 文档</t>
        </is>
      </c>
      <c r="K41" s="40" t="inlineStr">
        <is>
          <t>形成架构与设计基线</t>
        </is>
      </c>
      <c r="L41" s="40" t="inlineStr">
        <is>
          <t>—</t>
        </is>
      </c>
      <c r="M41" s="40" t="inlineStr">
        <is>
          <t>资源申请</t>
        </is>
      </c>
      <c r="N41" s="38" t="n">
        <v>0</v>
      </c>
      <c r="O41" s="38" t="n">
        <v>0</v>
      </c>
      <c r="P41" s="38" t="n">
        <v>2</v>
      </c>
      <c r="Q41" s="38" t="n">
        <v>0</v>
      </c>
      <c r="R41" s="38" t="n">
        <v>0</v>
      </c>
      <c r="S41" s="38">
        <f>SUM(N41:R41)</f>
        <v/>
      </c>
      <c r="T41" s="38" t="inlineStr">
        <is>
          <t>未开始</t>
        </is>
      </c>
      <c r="U41" s="38" t="n">
        <v>0</v>
      </c>
      <c r="V41" s="40" t="inlineStr"/>
    </row>
    <row r="42" ht="64" customHeight="1">
      <c r="A42" s="38" t="inlineStr">
        <is>
          <t>3.37</t>
        </is>
      </c>
      <c r="B42" s="45" t="inlineStr">
        <is>
          <t>工程支撑</t>
        </is>
      </c>
      <c r="C42" s="46" t="inlineStr">
        <is>
          <t>SLC 文档</t>
        </is>
      </c>
      <c r="D42" s="38" t="inlineStr">
        <is>
          <t>—</t>
        </is>
      </c>
      <c r="E42" s="38" t="inlineStr">
        <is>
          <t>项目团队/工程人员</t>
        </is>
      </c>
      <c r="F42" s="42" t="inlineStr">
        <is>
          <t>P1</t>
        </is>
      </c>
      <c r="G42" s="40" t="inlineStr">
        <is>
          <t>工程支撑 · 当前范围</t>
        </is>
      </c>
      <c r="H42" s="40" t="inlineStr">
        <is>
          <t>项目团队编写数据库、详细设计和接口文档</t>
        </is>
      </c>
      <c r="I42" s="40" t="inlineStr">
        <is>
          <t>SDD（Database/Detailed/Interface）</t>
        </is>
      </c>
      <c r="J42" s="40" t="inlineStr">
        <is>
          <t>项目团队编写数据库、详细设计和接口文档</t>
        </is>
      </c>
      <c r="K42" s="40" t="inlineStr">
        <is>
          <t>形成开发与联调依据</t>
        </is>
      </c>
      <c r="L42" s="40" t="inlineStr">
        <is>
          <t>—</t>
        </is>
      </c>
      <c r="M42" s="40" t="inlineStr">
        <is>
          <t>ADD（架构与设计文档）</t>
        </is>
      </c>
      <c r="N42" s="38" t="n">
        <v>0</v>
      </c>
      <c r="O42" s="38" t="n">
        <v>0</v>
      </c>
      <c r="P42" s="38" t="n">
        <v>3</v>
      </c>
      <c r="Q42" s="38" t="n">
        <v>0</v>
      </c>
      <c r="R42" s="38" t="n">
        <v>0</v>
      </c>
      <c r="S42" s="38">
        <f>SUM(N42:R42)</f>
        <v/>
      </c>
      <c r="T42" s="38" t="inlineStr">
        <is>
          <t>未开始</t>
        </is>
      </c>
      <c r="U42" s="38" t="n">
        <v>0</v>
      </c>
      <c r="V42" s="40" t="inlineStr"/>
    </row>
    <row r="43" ht="64" customHeight="1">
      <c r="A43" s="38" t="inlineStr">
        <is>
          <t>3.38</t>
        </is>
      </c>
      <c r="B43" s="45" t="inlineStr">
        <is>
          <t>工程支撑</t>
        </is>
      </c>
      <c r="C43" s="46" t="inlineStr">
        <is>
          <t>SLC 文档</t>
        </is>
      </c>
      <c r="D43" s="38" t="inlineStr">
        <is>
          <t>—</t>
        </is>
      </c>
      <c r="E43" s="38" t="inlineStr">
        <is>
          <t>项目团队/工程人员</t>
        </is>
      </c>
      <c r="F43" s="42" t="inlineStr">
        <is>
          <t>P1</t>
        </is>
      </c>
      <c r="G43" s="40" t="inlineStr">
        <is>
          <t>工程支撑 · 当前范围</t>
        </is>
      </c>
      <c r="H43" s="40" t="inlineStr">
        <is>
          <t>QA 按测试计划执行 IQ Test Pre/Post</t>
        </is>
      </c>
      <c r="I43" s="40" t="inlineStr">
        <is>
          <t>IQ Test Pre / IQ Test Post</t>
        </is>
      </c>
      <c r="J43" s="40" t="inlineStr">
        <is>
          <t>QA 按测试计划执行 IQ Test Pre/Post</t>
        </is>
      </c>
      <c r="K43" s="40" t="inlineStr">
        <is>
          <t>输出测试记录和问题闭环结果</t>
        </is>
      </c>
      <c r="L43" s="40" t="inlineStr">
        <is>
          <t>—</t>
        </is>
      </c>
      <c r="M43" s="40" t="inlineStr">
        <is>
          <t>SDD（Database/Detailed/Interface）</t>
        </is>
      </c>
      <c r="N43" s="38" t="n">
        <v>0</v>
      </c>
      <c r="O43" s="38" t="n">
        <v>0</v>
      </c>
      <c r="P43" s="38" t="n">
        <v>0</v>
      </c>
      <c r="Q43" s="38" t="n">
        <v>0</v>
      </c>
      <c r="R43" s="38" t="n">
        <v>2</v>
      </c>
      <c r="S43" s="38">
        <f>SUM(N43:R43)</f>
        <v/>
      </c>
      <c r="T43" s="38" t="inlineStr">
        <is>
          <t>未开始</t>
        </is>
      </c>
      <c r="U43" s="38" t="n">
        <v>0</v>
      </c>
      <c r="V43" s="40" t="inlineStr">
        <is>
          <t>功能测试，不含文档</t>
        </is>
      </c>
    </row>
    <row r="44" ht="64" customHeight="1">
      <c r="A44" s="38" t="inlineStr">
        <is>
          <t>3.39</t>
        </is>
      </c>
      <c r="B44" s="45" t="inlineStr">
        <is>
          <t>工程支撑</t>
        </is>
      </c>
      <c r="C44" s="46" t="inlineStr">
        <is>
          <t>SLC 文档</t>
        </is>
      </c>
      <c r="D44" s="38" t="inlineStr">
        <is>
          <t>—</t>
        </is>
      </c>
      <c r="E44" s="38" t="inlineStr">
        <is>
          <t>项目团队/工程人员</t>
        </is>
      </c>
      <c r="F44" s="42" t="inlineStr">
        <is>
          <t>P1</t>
        </is>
      </c>
      <c r="G44" s="40" t="inlineStr">
        <is>
          <t>工程支撑 · 当前范围</t>
        </is>
      </c>
      <c r="H44" s="40" t="inlineStr">
        <is>
          <t>QA 执行运行确认并记录环境、功能和结果</t>
        </is>
      </c>
      <c r="I44" s="40" t="inlineStr">
        <is>
          <t>OQ（运行确认）</t>
        </is>
      </c>
      <c r="J44" s="40" t="inlineStr">
        <is>
          <t>QA 执行运行确认并记录环境、功能和结果</t>
        </is>
      </c>
      <c r="K44" s="40" t="inlineStr">
        <is>
          <t>形成 OQ 结论</t>
        </is>
      </c>
      <c r="L44" s="40" t="inlineStr">
        <is>
          <t>—</t>
        </is>
      </c>
      <c r="M44" s="40" t="inlineStr">
        <is>
          <t>IQ Test Pre / IQ Test Post</t>
        </is>
      </c>
      <c r="N44" s="38" t="n">
        <v>0</v>
      </c>
      <c r="O44" s="38" t="n">
        <v>0</v>
      </c>
      <c r="P44" s="38" t="n">
        <v>0</v>
      </c>
      <c r="Q44" s="38" t="n">
        <v>0</v>
      </c>
      <c r="R44" s="38" t="n">
        <v>2</v>
      </c>
      <c r="S44" s="38">
        <f>SUM(N44:R44)</f>
        <v/>
      </c>
      <c r="T44" s="38" t="inlineStr">
        <is>
          <t>未开始</t>
        </is>
      </c>
      <c r="U44" s="38" t="n">
        <v>0</v>
      </c>
      <c r="V44" s="40" t="inlineStr"/>
    </row>
    <row r="45" ht="64" customHeight="1">
      <c r="A45" s="38" t="inlineStr">
        <is>
          <t>3.40</t>
        </is>
      </c>
      <c r="B45" s="45" t="inlineStr">
        <is>
          <t>工程支撑</t>
        </is>
      </c>
      <c r="C45" s="46" t="inlineStr">
        <is>
          <t>SLC 文档</t>
        </is>
      </c>
      <c r="D45" s="38" t="inlineStr">
        <is>
          <t>—</t>
        </is>
      </c>
      <c r="E45" s="38" t="inlineStr">
        <is>
          <t>项目团队/工程人员</t>
        </is>
      </c>
      <c r="F45" s="42" t="inlineStr">
        <is>
          <t>P1</t>
        </is>
      </c>
      <c r="G45" s="40" t="inlineStr">
        <is>
          <t>工程支撑 · 当前范围</t>
        </is>
      </c>
      <c r="H45" s="40" t="inlineStr">
        <is>
          <t>发布前执行生产环境 IQ 检查</t>
        </is>
      </c>
      <c r="I45" s="40" t="inlineStr">
        <is>
          <t>IQ PROD Pre</t>
        </is>
      </c>
      <c r="J45" s="40" t="inlineStr">
        <is>
          <t>发布前执行生产环境 IQ 检查</t>
        </is>
      </c>
      <c r="K45" s="40" t="inlineStr">
        <is>
          <t>确认生产发布前置条件满足</t>
        </is>
      </c>
      <c r="L45" s="40" t="inlineStr">
        <is>
          <t>—</t>
        </is>
      </c>
      <c r="M45" s="40" t="inlineStr">
        <is>
          <t>OQ（运行确认）</t>
        </is>
      </c>
      <c r="N45" s="38" t="n">
        <v>0</v>
      </c>
      <c r="O45" s="38" t="n">
        <v>0</v>
      </c>
      <c r="P45" s="38" t="n">
        <v>0</v>
      </c>
      <c r="Q45" s="38" t="n">
        <v>0</v>
      </c>
      <c r="R45" s="38" t="n">
        <v>1</v>
      </c>
      <c r="S45" s="38">
        <f>SUM(N45:R45)</f>
        <v/>
      </c>
      <c r="T45" s="38" t="inlineStr">
        <is>
          <t>未开始</t>
        </is>
      </c>
      <c r="U45" s="38" t="n">
        <v>0</v>
      </c>
      <c r="V45" s="40" t="inlineStr"/>
    </row>
    <row r="46">
      <c r="A46" s="47" t="inlineStr">
        <is>
          <t>合计</t>
        </is>
      </c>
      <c r="B46" s="47" t="inlineStr">
        <is>
          <t>Phase1 总计</t>
        </is>
      </c>
      <c r="C46" s="47" t="n"/>
      <c r="D46" s="47" t="n"/>
      <c r="E46" s="47" t="n"/>
      <c r="F46" s="47" t="n"/>
      <c r="G46" s="47" t="n"/>
      <c r="H46" s="47" t="inlineStr">
        <is>
          <t>功能开发 + 工程支撑；End User 登录复用 ADMIN SSO</t>
        </is>
      </c>
      <c r="I46" s="47" t="n"/>
      <c r="J46" s="47" t="n"/>
      <c r="K46" s="47" t="n"/>
      <c r="L46" s="47" t="n"/>
      <c r="M46" s="47" t="n"/>
      <c r="N46" s="47">
        <f>SUM(N6:N45)</f>
        <v/>
      </c>
      <c r="O46" s="47">
        <f>SUM(O6:O45)</f>
        <v/>
      </c>
      <c r="P46" s="47">
        <f>SUM(P6:P45)</f>
        <v/>
      </c>
      <c r="Q46" s="47">
        <f>SUM(Q6:Q45)</f>
        <v/>
      </c>
      <c r="R46" s="47">
        <f>SUM(R6:R45)</f>
        <v/>
      </c>
      <c r="S46" s="47">
        <f>SUM(S6:S45)</f>
        <v/>
      </c>
      <c r="T46" s="47" t="inlineStr">
        <is>
          <t>未开始</t>
        </is>
      </c>
      <c r="U46" s="47" t="n">
        <v>0</v>
      </c>
      <c r="V46" s="47" t="n"/>
    </row>
    <row r="49">
      <c r="A49" s="48" t="inlineStr">
        <is>
          <t>菜单与操作路径摘要</t>
        </is>
      </c>
    </row>
    <row r="50">
      <c r="A50" s="49" t="inlineStr">
        <is>
          <t>一级菜单</t>
        </is>
      </c>
      <c r="B50" s="49" t="inlineStr">
        <is>
          <t>操作顺序</t>
        </is>
      </c>
      <c r="C50" s="49" t="inlineStr">
        <is>
          <t>核心菜单/功能</t>
        </is>
      </c>
      <c r="D50" s="49" t="inlineStr">
        <is>
          <t>角色</t>
        </is>
      </c>
      <c r="E50" s="49" t="inlineStr">
        <is>
          <t>业务目标</t>
        </is>
      </c>
      <c r="F50" s="49" t="inlineStr">
        <is>
          <t>当前范围</t>
        </is>
      </c>
      <c r="G50" s="49" t="inlineStr">
        <is>
          <t>人天合计</t>
        </is>
      </c>
      <c r="H50" s="49" t="inlineStr">
        <is>
          <t>说明</t>
        </is>
      </c>
    </row>
    <row r="51">
      <c r="A51" s="39" t="inlineStr">
        <is>
          <t>ADMIN</t>
        </is>
      </c>
      <c r="B51" s="40" t="inlineStr">
        <is>
          <t>1 → 2 → 3 → 4 → 5 → 6 → 7 → 8 → 9 → 10</t>
        </is>
      </c>
      <c r="C51" s="40" t="inlineStr">
        <is>
          <t>登录；源系统管理；归档配置；归档执行；附件迁移；Dynamic Query；权限；生命周期；系统查询；日志</t>
        </is>
      </c>
      <c r="D51" s="40" t="inlineStr">
        <is>
          <t>管理员</t>
        </is>
      </c>
      <c r="E51" s="40" t="inlineStr">
        <is>
          <t>完成归档配置、执行、查询配置和治理</t>
        </is>
      </c>
      <c r="F51" s="40" t="inlineStr">
        <is>
          <t>Phase1</t>
        </is>
      </c>
      <c r="G51" s="40" t="inlineStr">
        <is>
          <t>功能行汇总</t>
        </is>
      </c>
      <c r="H51" s="40" t="inlineStr">
        <is>
          <t>登录与权限是所有后台操作前置</t>
        </is>
      </c>
    </row>
    <row r="52">
      <c r="A52" s="43" t="inlineStr">
        <is>
          <t>End User</t>
        </is>
      </c>
      <c r="B52" s="40" t="inlineStr">
        <is>
          <t>1 → 2 → 3 → 4</t>
        </is>
      </c>
      <c r="C52" s="40" t="inlineStr">
        <is>
          <t>登录；归档数据查询；列表；详情；附件预览/下载</t>
        </is>
      </c>
      <c r="D52" s="40" t="inlineStr">
        <is>
          <t>终端用户</t>
        </is>
      </c>
      <c r="E52" s="40" t="inlineStr">
        <is>
          <t>基于管理员发布的 Dynamic Query 查询归档数据</t>
        </is>
      </c>
      <c r="F52" s="40" t="inlineStr">
        <is>
          <t>Phase1</t>
        </is>
      </c>
      <c r="G52" s="40" t="inlineStr">
        <is>
          <t>功能行汇总</t>
        </is>
      </c>
      <c r="H52" s="40" t="inlineStr">
        <is>
          <t>SSO 登录复用 ADMIN；受角色和数据范围控制</t>
        </is>
      </c>
    </row>
    <row r="53">
      <c r="A53" s="45" t="inlineStr">
        <is>
          <t>工程支撑</t>
        </is>
      </c>
      <c r="B53" s="40" t="inlineStr">
        <is>
          <t>资源 → CI/CD → 集成测试 → SLC</t>
        </is>
      </c>
      <c r="C53" s="40" t="inlineStr">
        <is>
          <t>资源申请；流水线；云资源测试；ADD/SDD/IQ/OQ</t>
        </is>
      </c>
      <c r="D53" s="40" t="inlineStr">
        <is>
          <t>项目团队/工程人员</t>
        </is>
      </c>
      <c r="E53" s="40" t="inlineStr">
        <is>
          <t>保证系统可部署、可验证、可上线</t>
        </is>
      </c>
      <c r="F53" s="40" t="inlineStr">
        <is>
          <t>Phase1</t>
        </is>
      </c>
      <c r="G53" s="40" t="inlineStr">
        <is>
          <t>工程行汇总</t>
        </is>
      </c>
      <c r="H53" s="40" t="inlineStr">
        <is>
          <t>不显示为业务菜单，但计入总人天</t>
        </is>
      </c>
    </row>
  </sheetData>
  <autoFilter ref="A5:V46"/>
  <mergeCells count="4">
    <mergeCell ref="A2:V2"/>
    <mergeCell ref="A1:V1"/>
    <mergeCell ref="A49:H49"/>
    <mergeCell ref="A3:V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9" customWidth="1" min="3" max="3"/>
    <col width="12" customWidth="1" min="4" max="4"/>
    <col width="14" customWidth="1" min="5" max="5"/>
    <col width="9" customWidth="1" min="6" max="6"/>
    <col width="18" customWidth="1" min="7" max="7"/>
    <col width="34" customWidth="1" min="8" max="8"/>
    <col width="48" customWidth="1" min="9" max="9"/>
    <col width="50" customWidth="1" min="10" max="10"/>
    <col width="30" customWidth="1" min="11" max="11"/>
    <col width="34" customWidth="1" min="12" max="12"/>
    <col width="11" customWidth="1" min="13" max="13"/>
    <col width="12" customWidth="1" min="14" max="14"/>
    <col width="13" customWidth="1" min="15" max="15"/>
    <col width="11" customWidth="1" min="16" max="16"/>
    <col width="11" customWidth="1" min="17" max="17"/>
    <col width="13" customWidth="1" min="18" max="18"/>
    <col width="11" customWidth="1" min="19" max="19"/>
    <col width="9" customWidth="1" min="20" max="20"/>
    <col width="38" customWidth="1" min="21" max="21"/>
  </cols>
  <sheetData>
    <row r="1" ht="28" customHeight="1">
      <c r="A1" s="34" t="inlineStr">
        <is>
          <t>RIMS 归档平台 · 菜单流程说明（原子功能清单）</t>
        </is>
      </c>
    </row>
    <row r="2" ht="32" customHeight="1">
      <c r="A2" s="35" t="inlineStr">
        <is>
          <t>本表将一个菜单功能中的多个用户操作拆成独立功能行；每一行均有明确的系统响应和前置依赖，便于产品、开发、测试逐项确认。</t>
        </is>
      </c>
    </row>
    <row r="3" ht="32" customHeight="1">
      <c r="A3" s="58" t="inlineStr">
        <is>
          <t>流程顺序：ADMIN 登录 → 源系统管理 → 归档配置 → 归档执行 → 附件迁移 → Dynamic Query → 权限/生命周期 → 查询/日志；End User 登录 → 查询 → 列表 → 详情 → 附件。</t>
        </is>
      </c>
    </row>
    <row r="5" ht="38" customHeight="1">
      <c r="A5" s="37" t="inlineStr">
        <is>
          <t>一级菜单</t>
        </is>
      </c>
      <c r="B5" s="37" t="inlineStr">
        <is>
          <t>二级菜单/功能分组</t>
        </is>
      </c>
      <c r="C5" s="37" t="inlineStr">
        <is>
          <t>原步骤</t>
        </is>
      </c>
      <c r="D5" s="37" t="inlineStr">
        <is>
          <t>功能编号</t>
        </is>
      </c>
      <c r="E5" s="37" t="inlineStr">
        <is>
          <t>角色</t>
        </is>
      </c>
      <c r="F5" s="37" t="inlineStr">
        <is>
          <t>优先级</t>
        </is>
      </c>
      <c r="G5" s="37" t="inlineStr">
        <is>
          <t>范围</t>
        </is>
      </c>
      <c r="H5" s="37" t="inlineStr">
        <is>
          <t>功能点</t>
        </is>
      </c>
      <c r="I5" s="37" t="inlineStr">
        <is>
          <t>用户操作（原子功能）</t>
        </is>
      </c>
      <c r="J5" s="37" t="inlineStr">
        <is>
          <t>系统响应/验收结果</t>
        </is>
      </c>
      <c r="K5" s="37" t="inlineStr">
        <is>
          <t>依赖关系</t>
        </is>
      </c>
      <c r="L5" s="37" t="inlineStr">
        <is>
          <t>技术服务/实现层</t>
        </is>
      </c>
      <c r="M5" s="37" t="inlineStr">
        <is>
          <t>BA(人天)</t>
        </is>
      </c>
      <c r="N5" s="37" t="inlineStr">
        <is>
          <t>前端(人天)</t>
        </is>
      </c>
      <c r="O5" s="37" t="inlineStr">
        <is>
          <t>后端API(人天)</t>
        </is>
      </c>
      <c r="P5" s="37" t="inlineStr">
        <is>
          <t>数据(人天)</t>
        </is>
      </c>
      <c r="Q5" s="37" t="inlineStr">
        <is>
          <t>QA(人天)</t>
        </is>
      </c>
      <c r="R5" s="37" t="inlineStr">
        <is>
          <t>功能小计(人天)</t>
        </is>
      </c>
      <c r="S5" s="37" t="inlineStr">
        <is>
          <t>状态</t>
        </is>
      </c>
      <c r="T5" s="37" t="inlineStr">
        <is>
          <t>进度</t>
        </is>
      </c>
      <c r="U5" s="37" t="inlineStr">
        <is>
          <t>技术要点/备注</t>
        </is>
      </c>
    </row>
    <row r="6" ht="56" customHeight="1">
      <c r="A6" s="59" t="inlineStr">
        <is>
          <t>ADMIN</t>
        </is>
      </c>
      <c r="B6" s="40" t="inlineStr">
        <is>
          <t>登录</t>
        </is>
      </c>
      <c r="C6" s="38" t="inlineStr">
        <is>
          <t>1</t>
        </is>
      </c>
      <c r="D6" s="38" t="inlineStr">
        <is>
          <t>1.1.1</t>
        </is>
      </c>
      <c r="E6" s="38" t="inlineStr">
        <is>
          <t>管理员</t>
        </is>
      </c>
      <c r="F6" s="41" t="inlineStr">
        <is>
          <t>P0</t>
        </is>
      </c>
      <c r="G6" s="40" t="inlineStr">
        <is>
          <t>Phase1 · 当前范围</t>
        </is>
      </c>
      <c r="H6" s="40" t="inlineStr">
        <is>
          <t>企业 SSO 集成</t>
        </is>
      </c>
      <c r="I6" s="40" t="inlineStr">
        <is>
          <t>打开登录页</t>
        </is>
      </c>
      <c r="J6" s="40" t="inlineStr">
        <is>
          <t>展示企业 SSO 登录入口</t>
        </is>
      </c>
      <c r="K6" s="40" t="inlineStr">
        <is>
          <t>—</t>
        </is>
      </c>
      <c r="L6" s="40" t="inlineStr">
        <is>
          <t>AuthManagementService（认证授权服务）</t>
        </is>
      </c>
      <c r="M6" s="38" t="n">
        <v>1</v>
      </c>
      <c r="N6" s="38" t="n">
        <v>2</v>
      </c>
      <c r="O6" s="38" t="n">
        <v>2</v>
      </c>
      <c r="P6" s="38" t="n">
        <v>0</v>
      </c>
      <c r="Q6" s="38" t="n">
        <v>3</v>
      </c>
      <c r="R6" s="38">
        <f>SUM(M6:Q6)</f>
        <v/>
      </c>
      <c r="S6" s="38" t="inlineStr">
        <is>
          <t>未开始</t>
        </is>
      </c>
      <c r="T6" s="38" t="n">
        <v>0</v>
      </c>
      <c r="U6" s="40" t="inlineStr">
        <is>
          <t>集成 LDAPs；End User 共用，不重复计</t>
        </is>
      </c>
    </row>
    <row r="7" ht="56" customHeight="1">
      <c r="A7" s="59" t="inlineStr">
        <is>
          <t>ADMIN</t>
        </is>
      </c>
      <c r="B7" s="40" t="inlineStr">
        <is>
          <t>登录</t>
        </is>
      </c>
      <c r="C7" s="38" t="inlineStr">
        <is>
          <t>1</t>
        </is>
      </c>
      <c r="D7" s="38" t="inlineStr">
        <is>
          <t>1.1.2</t>
        </is>
      </c>
      <c r="E7" s="38" t="inlineStr">
        <is>
          <t>管理员</t>
        </is>
      </c>
      <c r="F7" s="41" t="inlineStr">
        <is>
          <t>P0</t>
        </is>
      </c>
      <c r="G7" s="40" t="inlineStr">
        <is>
          <t>Phase1 · 当前范围</t>
        </is>
      </c>
      <c r="H7" s="40" t="inlineStr">
        <is>
          <t>企业 SSO 集成</t>
        </is>
      </c>
      <c r="I7" s="40" t="inlineStr">
        <is>
          <t>发起企业 SSO 认证</t>
        </is>
      </c>
      <c r="J7" s="40" t="inlineStr">
        <is>
          <t>跳转企业身份认证并校验身份</t>
        </is>
      </c>
      <c r="K7" s="40" t="inlineStr">
        <is>
          <t>打开登录页</t>
        </is>
      </c>
      <c r="L7" s="40" t="inlineStr">
        <is>
          <t>AuthManagementService（认证授权服务）</t>
        </is>
      </c>
      <c r="M7" s="38" t="n">
        <v>1</v>
      </c>
      <c r="N7" s="38" t="n">
        <v>2</v>
      </c>
      <c r="O7" s="38" t="n">
        <v>2</v>
      </c>
      <c r="P7" s="38" t="n">
        <v>0</v>
      </c>
      <c r="Q7" s="38" t="n">
        <v>3</v>
      </c>
      <c r="R7" s="38">
        <f>SUM(M7:Q7)</f>
        <v/>
      </c>
      <c r="S7" s="38" t="inlineStr">
        <is>
          <t>未开始</t>
        </is>
      </c>
      <c r="T7" s="38" t="n">
        <v>0</v>
      </c>
      <c r="U7" s="40" t="inlineStr">
        <is>
          <t>集成 LDAPs；End User 共用，不重复计</t>
        </is>
      </c>
    </row>
    <row r="8" ht="56" customHeight="1">
      <c r="A8" s="59" t="inlineStr">
        <is>
          <t>ADMIN</t>
        </is>
      </c>
      <c r="B8" s="40" t="inlineStr">
        <is>
          <t>登录</t>
        </is>
      </c>
      <c r="C8" s="38" t="inlineStr">
        <is>
          <t>1</t>
        </is>
      </c>
      <c r="D8" s="38" t="inlineStr">
        <is>
          <t>1.1.3</t>
        </is>
      </c>
      <c r="E8" s="38" t="inlineStr">
        <is>
          <t>管理员</t>
        </is>
      </c>
      <c r="F8" s="41" t="inlineStr">
        <is>
          <t>P0</t>
        </is>
      </c>
      <c r="G8" s="40" t="inlineStr">
        <is>
          <t>Phase1 · 当前范围</t>
        </is>
      </c>
      <c r="H8" s="40" t="inlineStr">
        <is>
          <t>企业 SSO 集成</t>
        </is>
      </c>
      <c r="I8" s="40" t="inlineStr">
        <is>
          <t>完成认证并进入系统</t>
        </is>
      </c>
      <c r="J8" s="40" t="inlineStr">
        <is>
          <t>建立会话并按角色加载菜单</t>
        </is>
      </c>
      <c r="K8" s="40" t="inlineStr">
        <is>
          <t>发起企业 SSO 认证</t>
        </is>
      </c>
      <c r="L8" s="40" t="inlineStr">
        <is>
          <t>AuthManagementService（认证授权服务）</t>
        </is>
      </c>
      <c r="M8" s="38" t="n">
        <v>1</v>
      </c>
      <c r="N8" s="38" t="n">
        <v>2</v>
      </c>
      <c r="O8" s="38" t="n">
        <v>2</v>
      </c>
      <c r="P8" s="38" t="n">
        <v>0</v>
      </c>
      <c r="Q8" s="38" t="n">
        <v>3</v>
      </c>
      <c r="R8" s="38">
        <f>SUM(M8:Q8)</f>
        <v/>
      </c>
      <c r="S8" s="38" t="inlineStr">
        <is>
          <t>未开始</t>
        </is>
      </c>
      <c r="T8" s="38" t="n">
        <v>0</v>
      </c>
      <c r="U8" s="40" t="inlineStr">
        <is>
          <t>集成 LDAPs；End User 共用，不重复计</t>
        </is>
      </c>
    </row>
    <row r="9" ht="56" customHeight="1">
      <c r="A9" s="59" t="inlineStr">
        <is>
          <t>ADMIN</t>
        </is>
      </c>
      <c r="B9" s="40" t="inlineStr">
        <is>
          <t>源系统管理</t>
        </is>
      </c>
      <c r="C9" s="38" t="inlineStr">
        <is>
          <t>2</t>
        </is>
      </c>
      <c r="D9" s="38" t="inlineStr">
        <is>
          <t>1.2.1</t>
        </is>
      </c>
      <c r="E9" s="38" t="inlineStr">
        <is>
          <t>管理员</t>
        </is>
      </c>
      <c r="F9" s="41" t="inlineStr">
        <is>
          <t>P0</t>
        </is>
      </c>
      <c r="G9" s="40" t="inlineStr">
        <is>
          <t>Phase1 · 当前范围</t>
        </is>
      </c>
      <c r="H9" s="40" t="inlineStr">
        <is>
          <t>系统基础信息录入</t>
        </is>
      </c>
      <c r="I9" s="40" t="inlineStr">
        <is>
          <t>打开源系统管理</t>
        </is>
      </c>
      <c r="J9" s="40" t="inlineStr">
        <is>
          <t>展示来源系统列表和新增入口</t>
        </is>
      </c>
      <c r="K9" s="40" t="inlineStr">
        <is>
          <t>企业 SSO 集成</t>
        </is>
      </c>
      <c r="L9" s="40" t="inlineStr">
        <is>
          <t>SourceSystemManagementService（来源系统管理服务）</t>
        </is>
      </c>
      <c r="M9" s="38" t="n">
        <v>1</v>
      </c>
      <c r="N9" s="38" t="n">
        <v>1</v>
      </c>
      <c r="O9" s="38" t="n">
        <v>1</v>
      </c>
      <c r="P9" s="38" t="n">
        <v>0</v>
      </c>
      <c r="Q9" s="38" t="n">
        <v>1</v>
      </c>
      <c r="R9" s="38">
        <f>SUM(M9:Q9)</f>
        <v/>
      </c>
      <c r="S9" s="38" t="inlineStr">
        <is>
          <t>未开始</t>
        </is>
      </c>
      <c r="T9" s="38" t="n">
        <v>0</v>
      </c>
      <c r="U9" s="40" t="n"/>
    </row>
    <row r="10" ht="56" customHeight="1">
      <c r="A10" s="59" t="inlineStr">
        <is>
          <t>ADMIN</t>
        </is>
      </c>
      <c r="B10" s="40" t="inlineStr">
        <is>
          <t>源系统管理</t>
        </is>
      </c>
      <c r="C10" s="38" t="inlineStr">
        <is>
          <t>2</t>
        </is>
      </c>
      <c r="D10" s="38" t="inlineStr">
        <is>
          <t>1.2.2</t>
        </is>
      </c>
      <c r="E10" s="38" t="inlineStr">
        <is>
          <t>管理员</t>
        </is>
      </c>
      <c r="F10" s="41" t="inlineStr">
        <is>
          <t>P0</t>
        </is>
      </c>
      <c r="G10" s="40" t="inlineStr">
        <is>
          <t>Phase1 · 当前范围</t>
        </is>
      </c>
      <c r="H10" s="40" t="inlineStr">
        <is>
          <t>系统基础信息录入</t>
        </is>
      </c>
      <c r="I10" s="40" t="inlineStr">
        <is>
          <t>新增来源系统</t>
        </is>
      </c>
      <c r="J10" s="40" t="inlineStr">
        <is>
          <t>打开系统基础信息录入表单</t>
        </is>
      </c>
      <c r="K10" s="40" t="inlineStr">
        <is>
          <t>打开源系统管理</t>
        </is>
      </c>
      <c r="L10" s="40" t="inlineStr">
        <is>
          <t>SourceSystemManagementService（来源系统管理服务）</t>
        </is>
      </c>
      <c r="M10" s="38" t="n">
        <v>1</v>
      </c>
      <c r="N10" s="38" t="n">
        <v>1</v>
      </c>
      <c r="O10" s="38" t="n">
        <v>1</v>
      </c>
      <c r="P10" s="38" t="n">
        <v>0</v>
      </c>
      <c r="Q10" s="38" t="n">
        <v>1</v>
      </c>
      <c r="R10" s="38">
        <f>SUM(M10:Q10)</f>
        <v/>
      </c>
      <c r="S10" s="38" t="inlineStr">
        <is>
          <t>未开始</t>
        </is>
      </c>
      <c r="T10" s="38" t="n">
        <v>0</v>
      </c>
      <c r="U10" s="40" t="n"/>
    </row>
    <row r="11" ht="56" customHeight="1">
      <c r="A11" s="59" t="inlineStr">
        <is>
          <t>ADMIN</t>
        </is>
      </c>
      <c r="B11" s="40" t="inlineStr">
        <is>
          <t>源系统管理</t>
        </is>
      </c>
      <c r="C11" s="38" t="inlineStr">
        <is>
          <t>2</t>
        </is>
      </c>
      <c r="D11" s="38" t="inlineStr">
        <is>
          <t>1.2.3</t>
        </is>
      </c>
      <c r="E11" s="38" t="inlineStr">
        <is>
          <t>管理员</t>
        </is>
      </c>
      <c r="F11" s="41" t="inlineStr">
        <is>
          <t>P0</t>
        </is>
      </c>
      <c r="G11" s="40" t="inlineStr">
        <is>
          <t>Phase1 · 当前范围</t>
        </is>
      </c>
      <c r="H11" s="40" t="inlineStr">
        <is>
          <t>系统基础信息录入</t>
        </is>
      </c>
      <c r="I11" s="40" t="inlineStr">
        <is>
          <t>填写系统基础信息</t>
        </is>
      </c>
      <c r="J11" s="40" t="inlineStr">
        <is>
          <t>校验必填项、格式及编码唯一性</t>
        </is>
      </c>
      <c r="K11" s="40" t="inlineStr">
        <is>
          <t>新增来源系统</t>
        </is>
      </c>
      <c r="L11" s="40" t="inlineStr">
        <is>
          <t>SourceSystemManagementService（来源系统管理服务）</t>
        </is>
      </c>
      <c r="M11" s="38" t="n">
        <v>1</v>
      </c>
      <c r="N11" s="38" t="n">
        <v>1</v>
      </c>
      <c r="O11" s="38" t="n">
        <v>1</v>
      </c>
      <c r="P11" s="38" t="n">
        <v>0</v>
      </c>
      <c r="Q11" s="38" t="n">
        <v>1</v>
      </c>
      <c r="R11" s="38">
        <f>SUM(M11:Q11)</f>
        <v/>
      </c>
      <c r="S11" s="38" t="inlineStr">
        <is>
          <t>未开始</t>
        </is>
      </c>
      <c r="T11" s="38" t="n">
        <v>0</v>
      </c>
      <c r="U11" s="40" t="n"/>
    </row>
    <row r="12" ht="56" customHeight="1">
      <c r="A12" s="59" t="inlineStr">
        <is>
          <t>ADMIN</t>
        </is>
      </c>
      <c r="B12" s="40" t="inlineStr">
        <is>
          <t>源系统管理</t>
        </is>
      </c>
      <c r="C12" s="38" t="inlineStr">
        <is>
          <t>2</t>
        </is>
      </c>
      <c r="D12" s="38" t="inlineStr">
        <is>
          <t>1.2.4</t>
        </is>
      </c>
      <c r="E12" s="38" t="inlineStr">
        <is>
          <t>管理员</t>
        </is>
      </c>
      <c r="F12" s="41" t="inlineStr">
        <is>
          <t>P0</t>
        </is>
      </c>
      <c r="G12" s="40" t="inlineStr">
        <is>
          <t>Phase1 · 当前范围</t>
        </is>
      </c>
      <c r="H12" s="40" t="inlineStr">
        <is>
          <t>系统基础信息录入</t>
        </is>
      </c>
      <c r="I12" s="40" t="inlineStr">
        <is>
          <t>保存来源系统</t>
        </is>
      </c>
      <c r="J12" s="40" t="inlineStr">
        <is>
          <t>生成来源系统标识并返回保存结果</t>
        </is>
      </c>
      <c r="K12" s="40" t="inlineStr">
        <is>
          <t>填写系统基础信息</t>
        </is>
      </c>
      <c r="L12" s="40" t="inlineStr">
        <is>
          <t>SourceSystemManagementService（来源系统管理服务）</t>
        </is>
      </c>
      <c r="M12" s="38" t="n">
        <v>1</v>
      </c>
      <c r="N12" s="38" t="n">
        <v>1</v>
      </c>
      <c r="O12" s="38" t="n">
        <v>1</v>
      </c>
      <c r="P12" s="38" t="n">
        <v>0</v>
      </c>
      <c r="Q12" s="38" t="n">
        <v>1</v>
      </c>
      <c r="R12" s="38">
        <f>SUM(M12:Q12)</f>
        <v/>
      </c>
      <c r="S12" s="38" t="inlineStr">
        <is>
          <t>未开始</t>
        </is>
      </c>
      <c r="T12" s="38" t="n">
        <v>0</v>
      </c>
      <c r="U12" s="40" t="n"/>
    </row>
    <row r="13" ht="56" customHeight="1">
      <c r="A13" s="59" t="inlineStr">
        <is>
          <t>ADMIN</t>
        </is>
      </c>
      <c r="B13" s="40" t="inlineStr">
        <is>
          <t>源系统管理</t>
        </is>
      </c>
      <c r="C13" s="38" t="inlineStr">
        <is>
          <t>3</t>
        </is>
      </c>
      <c r="D13" s="38" t="inlineStr">
        <is>
          <t>1.3.1</t>
        </is>
      </c>
      <c r="E13" s="38" t="inlineStr">
        <is>
          <t>管理员</t>
        </is>
      </c>
      <c r="F13" s="41" t="inlineStr">
        <is>
          <t>P0</t>
        </is>
      </c>
      <c r="G13" s="40" t="inlineStr">
        <is>
          <t>Phase1 · 当前范围</t>
        </is>
      </c>
      <c r="H13" s="40" t="inlineStr">
        <is>
          <t>数据库连接信息配置（配置数据源）</t>
        </is>
      </c>
      <c r="I13" s="40" t="inlineStr">
        <is>
          <t>进入数据源配置</t>
        </is>
      </c>
      <c r="J13" s="40" t="inlineStr">
        <is>
          <t>展示当前来源系统的数据源配置页</t>
        </is>
      </c>
      <c r="K13" s="40" t="inlineStr">
        <is>
          <t>系统基础信息录入</t>
        </is>
      </c>
      <c r="L13" s="40" t="inlineStr">
        <is>
          <t>SourceSystemManagementService</t>
        </is>
      </c>
      <c r="M13" s="38" t="n">
        <v>0</v>
      </c>
      <c r="N13" s="38" t="n">
        <v>0.5</v>
      </c>
      <c r="O13" s="38" t="n">
        <v>2</v>
      </c>
      <c r="P13" s="38" t="n">
        <v>0</v>
      </c>
      <c r="Q13" s="38" t="n">
        <v>0</v>
      </c>
      <c r="R13" s="38">
        <f>SUM(M13:Q13)</f>
        <v/>
      </c>
      <c r="S13" s="38" t="inlineStr">
        <is>
          <t>未开始</t>
        </is>
      </c>
      <c r="T13" s="38" t="n">
        <v>0</v>
      </c>
      <c r="U13" s="40" t="n"/>
    </row>
    <row r="14" ht="56" customHeight="1">
      <c r="A14" s="59" t="inlineStr">
        <is>
          <t>ADMIN</t>
        </is>
      </c>
      <c r="B14" s="40" t="inlineStr">
        <is>
          <t>源系统管理</t>
        </is>
      </c>
      <c r="C14" s="38" t="inlineStr">
        <is>
          <t>3</t>
        </is>
      </c>
      <c r="D14" s="38" t="inlineStr">
        <is>
          <t>1.3.2</t>
        </is>
      </c>
      <c r="E14" s="38" t="inlineStr">
        <is>
          <t>管理员</t>
        </is>
      </c>
      <c r="F14" s="41" t="inlineStr">
        <is>
          <t>P0</t>
        </is>
      </c>
      <c r="G14" s="40" t="inlineStr">
        <is>
          <t>Phase1 · 当前范围</t>
        </is>
      </c>
      <c r="H14" s="40" t="inlineStr">
        <is>
          <t>数据库连接信息配置（配置数据源）</t>
        </is>
      </c>
      <c r="I14" s="40" t="inlineStr">
        <is>
          <t>填写数据库连接信息</t>
        </is>
      </c>
      <c r="J14" s="40" t="inlineStr">
        <is>
          <t>校验连接参数格式并进行安全处理</t>
        </is>
      </c>
      <c r="K14" s="40" t="inlineStr">
        <is>
          <t>进入数据源配置</t>
        </is>
      </c>
      <c r="L14" s="40" t="inlineStr">
        <is>
          <t>SourceSystemManagementService</t>
        </is>
      </c>
      <c r="M14" s="38" t="n">
        <v>0</v>
      </c>
      <c r="N14" s="38" t="n">
        <v>0.5</v>
      </c>
      <c r="O14" s="38" t="n">
        <v>2</v>
      </c>
      <c r="P14" s="38" t="n">
        <v>0</v>
      </c>
      <c r="Q14" s="38" t="n">
        <v>0</v>
      </c>
      <c r="R14" s="38">
        <f>SUM(M14:Q14)</f>
        <v/>
      </c>
      <c r="S14" s="38" t="inlineStr">
        <is>
          <t>未开始</t>
        </is>
      </c>
      <c r="T14" s="38" t="n">
        <v>0</v>
      </c>
      <c r="U14" s="40" t="n"/>
    </row>
    <row r="15" ht="56" customHeight="1">
      <c r="A15" s="59" t="inlineStr">
        <is>
          <t>ADMIN</t>
        </is>
      </c>
      <c r="B15" s="40" t="inlineStr">
        <is>
          <t>源系统管理</t>
        </is>
      </c>
      <c r="C15" s="38" t="inlineStr">
        <is>
          <t>3</t>
        </is>
      </c>
      <c r="D15" s="38" t="inlineStr">
        <is>
          <t>1.3.3</t>
        </is>
      </c>
      <c r="E15" s="38" t="inlineStr">
        <is>
          <t>管理员</t>
        </is>
      </c>
      <c r="F15" s="41" t="inlineStr">
        <is>
          <t>P0</t>
        </is>
      </c>
      <c r="G15" s="40" t="inlineStr">
        <is>
          <t>Phase1 · 当前范围</t>
        </is>
      </c>
      <c r="H15" s="40" t="inlineStr">
        <is>
          <t>数据库连接信息配置（配置数据源）</t>
        </is>
      </c>
      <c r="I15" s="40" t="inlineStr">
        <is>
          <t>测试数据库连接</t>
        </is>
      </c>
      <c r="J15" s="40" t="inlineStr">
        <is>
          <t>返回连接成功或失败原因</t>
        </is>
      </c>
      <c r="K15" s="40" t="inlineStr">
        <is>
          <t>填写数据库连接信息</t>
        </is>
      </c>
      <c r="L15" s="40" t="inlineStr">
        <is>
          <t>SourceSystemManagementService</t>
        </is>
      </c>
      <c r="M15" s="38" t="n">
        <v>0</v>
      </c>
      <c r="N15" s="38" t="n">
        <v>0.5</v>
      </c>
      <c r="O15" s="38" t="n">
        <v>2</v>
      </c>
      <c r="P15" s="38" t="n">
        <v>0</v>
      </c>
      <c r="Q15" s="38" t="n">
        <v>0</v>
      </c>
      <c r="R15" s="38">
        <f>SUM(M15:Q15)</f>
        <v/>
      </c>
      <c r="S15" s="38" t="inlineStr">
        <is>
          <t>未开始</t>
        </is>
      </c>
      <c r="T15" s="38" t="n">
        <v>0</v>
      </c>
      <c r="U15" s="40" t="n"/>
    </row>
    <row r="16" ht="56" customHeight="1">
      <c r="A16" s="59" t="inlineStr">
        <is>
          <t>ADMIN</t>
        </is>
      </c>
      <c r="B16" s="40" t="inlineStr">
        <is>
          <t>源系统管理</t>
        </is>
      </c>
      <c r="C16" s="38" t="inlineStr">
        <is>
          <t>3</t>
        </is>
      </c>
      <c r="D16" s="38" t="inlineStr">
        <is>
          <t>1.3.4</t>
        </is>
      </c>
      <c r="E16" s="38" t="inlineStr">
        <is>
          <t>管理员</t>
        </is>
      </c>
      <c r="F16" s="41" t="inlineStr">
        <is>
          <t>P0</t>
        </is>
      </c>
      <c r="G16" s="40" t="inlineStr">
        <is>
          <t>Phase1 · 当前范围</t>
        </is>
      </c>
      <c r="H16" s="40" t="inlineStr">
        <is>
          <t>数据库连接信息配置（配置数据源）</t>
        </is>
      </c>
      <c r="I16" s="40" t="inlineStr">
        <is>
          <t>保存数据源配置</t>
        </is>
      </c>
      <c r="J16" s="40" t="inlineStr">
        <is>
          <t>保存可供元数据拉取使用的数据源</t>
        </is>
      </c>
      <c r="K16" s="40" t="inlineStr">
        <is>
          <t>测试数据库连接</t>
        </is>
      </c>
      <c r="L16" s="40" t="inlineStr">
        <is>
          <t>SourceSystemManagementService</t>
        </is>
      </c>
      <c r="M16" s="38" t="n">
        <v>0</v>
      </c>
      <c r="N16" s="38" t="n">
        <v>0.5</v>
      </c>
      <c r="O16" s="38" t="n">
        <v>2</v>
      </c>
      <c r="P16" s="38" t="n">
        <v>0</v>
      </c>
      <c r="Q16" s="38" t="n">
        <v>0</v>
      </c>
      <c r="R16" s="38">
        <f>SUM(M16:Q16)</f>
        <v/>
      </c>
      <c r="S16" s="38" t="inlineStr">
        <is>
          <t>未开始</t>
        </is>
      </c>
      <c r="T16" s="38" t="n">
        <v>0</v>
      </c>
      <c r="U16" s="40" t="n"/>
    </row>
    <row r="17" ht="56" customHeight="1">
      <c r="A17" s="59" t="inlineStr">
        <is>
          <t>ADMIN</t>
        </is>
      </c>
      <c r="B17" s="40" t="inlineStr">
        <is>
          <t>源系统管理</t>
        </is>
      </c>
      <c r="C17" s="38" t="inlineStr">
        <is>
          <t>4</t>
        </is>
      </c>
      <c r="D17" s="38" t="inlineStr">
        <is>
          <t>1.4.1</t>
        </is>
      </c>
      <c r="E17" s="38" t="inlineStr">
        <is>
          <t>管理员</t>
        </is>
      </c>
      <c r="F17" s="41" t="inlineStr">
        <is>
          <t>P0</t>
        </is>
      </c>
      <c r="G17" s="40" t="inlineStr">
        <is>
          <t>Phase1 · 当前范围</t>
        </is>
      </c>
      <c r="H17" s="40" t="inlineStr">
        <is>
          <t>数据保留期限设置</t>
        </is>
      </c>
      <c r="I17" s="40" t="inlineStr">
        <is>
          <t>打开保留期限配置</t>
        </is>
      </c>
      <c r="J17" s="40" t="inlineStr">
        <is>
          <t>展示当前系统的保留期限设置</t>
        </is>
      </c>
      <c r="K17" s="40" t="inlineStr">
        <is>
          <t>系统基础信息录入</t>
        </is>
      </c>
      <c r="L17" s="40" t="inlineStr">
        <is>
          <t>LifecycleManagementService（生命周期管理服务）</t>
        </is>
      </c>
      <c r="M17" s="38" t="n">
        <v>0</v>
      </c>
      <c r="N17" s="38" t="n">
        <v>0.5</v>
      </c>
      <c r="O17" s="38" t="n">
        <v>0.5</v>
      </c>
      <c r="P17" s="38" t="n">
        <v>0</v>
      </c>
      <c r="Q17" s="38" t="n">
        <v>0</v>
      </c>
      <c r="R17" s="38">
        <f>SUM(M17:Q17)</f>
        <v/>
      </c>
      <c r="S17" s="38" t="inlineStr">
        <is>
          <t>未开始</t>
        </is>
      </c>
      <c r="T17" s="38" t="n">
        <v>0</v>
      </c>
      <c r="U17" s="40" t="inlineStr">
        <is>
          <t>保留期限为后续删除校验输入</t>
        </is>
      </c>
    </row>
    <row r="18" ht="56" customHeight="1">
      <c r="A18" s="59" t="inlineStr">
        <is>
          <t>ADMIN</t>
        </is>
      </c>
      <c r="B18" s="40" t="inlineStr">
        <is>
          <t>源系统管理</t>
        </is>
      </c>
      <c r="C18" s="38" t="inlineStr">
        <is>
          <t>4</t>
        </is>
      </c>
      <c r="D18" s="38" t="inlineStr">
        <is>
          <t>1.4.2</t>
        </is>
      </c>
      <c r="E18" s="38" t="inlineStr">
        <is>
          <t>管理员</t>
        </is>
      </c>
      <c r="F18" s="41" t="inlineStr">
        <is>
          <t>P0</t>
        </is>
      </c>
      <c r="G18" s="40" t="inlineStr">
        <is>
          <t>Phase1 · 当前范围</t>
        </is>
      </c>
      <c r="H18" s="40" t="inlineStr">
        <is>
          <t>数据保留期限设置</t>
        </is>
      </c>
      <c r="I18" s="40" t="inlineStr">
        <is>
          <t>设置保留期限</t>
        </is>
      </c>
      <c r="J18" s="40" t="inlineStr">
        <is>
          <t>校验期限格式和取值范围</t>
        </is>
      </c>
      <c r="K18" s="40" t="inlineStr">
        <is>
          <t>打开保留期限配置</t>
        </is>
      </c>
      <c r="L18" s="40" t="inlineStr">
        <is>
          <t>LifecycleManagementService（生命周期管理服务）</t>
        </is>
      </c>
      <c r="M18" s="38" t="n">
        <v>0</v>
      </c>
      <c r="N18" s="38" t="n">
        <v>0.5</v>
      </c>
      <c r="O18" s="38" t="n">
        <v>0.5</v>
      </c>
      <c r="P18" s="38" t="n">
        <v>0</v>
      </c>
      <c r="Q18" s="38" t="n">
        <v>0</v>
      </c>
      <c r="R18" s="38">
        <f>SUM(M18:Q18)</f>
        <v/>
      </c>
      <c r="S18" s="38" t="inlineStr">
        <is>
          <t>未开始</t>
        </is>
      </c>
      <c r="T18" s="38" t="n">
        <v>0</v>
      </c>
      <c r="U18" s="40" t="inlineStr">
        <is>
          <t>保留期限为后续删除校验输入</t>
        </is>
      </c>
    </row>
    <row r="19" ht="56" customHeight="1">
      <c r="A19" s="59" t="inlineStr">
        <is>
          <t>ADMIN</t>
        </is>
      </c>
      <c r="B19" s="40" t="inlineStr">
        <is>
          <t>源系统管理</t>
        </is>
      </c>
      <c r="C19" s="38" t="inlineStr">
        <is>
          <t>4</t>
        </is>
      </c>
      <c r="D19" s="38" t="inlineStr">
        <is>
          <t>1.4.3</t>
        </is>
      </c>
      <c r="E19" s="38" t="inlineStr">
        <is>
          <t>管理员</t>
        </is>
      </c>
      <c r="F19" s="41" t="inlineStr">
        <is>
          <t>P0</t>
        </is>
      </c>
      <c r="G19" s="40" t="inlineStr">
        <is>
          <t>Phase1 · 当前范围</t>
        </is>
      </c>
      <c r="H19" s="40" t="inlineStr">
        <is>
          <t>数据保留期限设置</t>
        </is>
      </c>
      <c r="I19" s="40" t="inlineStr">
        <is>
          <t>保存保留期限</t>
        </is>
      </c>
      <c r="J19" s="40" t="inlineStr">
        <is>
          <t>保存配置并供生命周期校验使用</t>
        </is>
      </c>
      <c r="K19" s="40" t="inlineStr">
        <is>
          <t>设置保留期限</t>
        </is>
      </c>
      <c r="L19" s="40" t="inlineStr">
        <is>
          <t>LifecycleManagementService（生命周期管理服务）</t>
        </is>
      </c>
      <c r="M19" s="38" t="n">
        <v>0</v>
      </c>
      <c r="N19" s="38" t="n">
        <v>0.5</v>
      </c>
      <c r="O19" s="38" t="n">
        <v>0.5</v>
      </c>
      <c r="P19" s="38" t="n">
        <v>0</v>
      </c>
      <c r="Q19" s="38" t="n">
        <v>0</v>
      </c>
      <c r="R19" s="38">
        <f>SUM(M19:Q19)</f>
        <v/>
      </c>
      <c r="S19" s="38" t="inlineStr">
        <is>
          <t>未开始</t>
        </is>
      </c>
      <c r="T19" s="38" t="n">
        <v>0</v>
      </c>
      <c r="U19" s="40" t="inlineStr">
        <is>
          <t>保留期限为后续删除校验输入</t>
        </is>
      </c>
    </row>
    <row r="20" ht="56" customHeight="1">
      <c r="A20" s="59" t="inlineStr">
        <is>
          <t>ADMIN</t>
        </is>
      </c>
      <c r="B20" s="40" t="inlineStr">
        <is>
          <t>归档配置</t>
        </is>
      </c>
      <c r="C20" s="38" t="inlineStr">
        <is>
          <t>5</t>
        </is>
      </c>
      <c r="D20" s="38" t="inlineStr">
        <is>
          <t>1.5.1</t>
        </is>
      </c>
      <c r="E20" s="38" t="inlineStr">
        <is>
          <t>管理员</t>
        </is>
      </c>
      <c r="F20" s="41" t="inlineStr">
        <is>
          <t>P0</t>
        </is>
      </c>
      <c r="G20" s="40" t="inlineStr">
        <is>
          <t>Phase1 · 当前范围</t>
        </is>
      </c>
      <c r="H20" s="40" t="inlineStr">
        <is>
          <t>拉取源数据库表结构</t>
        </is>
      </c>
      <c r="I20" s="40" t="inlineStr">
        <is>
          <t>进入归档配置</t>
        </is>
      </c>
      <c r="J20" s="40" t="inlineStr">
        <is>
          <t>展示数据源和归档配置入口</t>
        </is>
      </c>
      <c r="K20" s="40" t="inlineStr">
        <is>
          <t>数据库连接信息配置（配置数据源）</t>
        </is>
      </c>
      <c r="L20" s="40" t="inlineStr">
        <is>
          <t>MetadataManagementService（元数据管理服务）</t>
        </is>
      </c>
      <c r="M20" s="38" t="n">
        <v>2</v>
      </c>
      <c r="N20" s="38" t="n">
        <v>0.5</v>
      </c>
      <c r="O20" s="38" t="n">
        <v>2</v>
      </c>
      <c r="P20" s="38" t="n">
        <v>0</v>
      </c>
      <c r="Q20" s="38" t="n">
        <v>2</v>
      </c>
      <c r="R20" s="38">
        <f>SUM(M20:Q20)</f>
        <v/>
      </c>
      <c r="S20" s="38" t="inlineStr">
        <is>
          <t>未开始</t>
        </is>
      </c>
      <c r="T20" s="38" t="n">
        <v>0</v>
      </c>
      <c r="U20" s="40" t="inlineStr">
        <is>
          <t>后端 JDBC 连接数据源动态拉取</t>
        </is>
      </c>
    </row>
    <row r="21" ht="56" customHeight="1">
      <c r="A21" s="59" t="inlineStr">
        <is>
          <t>ADMIN</t>
        </is>
      </c>
      <c r="B21" s="40" t="inlineStr">
        <is>
          <t>归档配置</t>
        </is>
      </c>
      <c r="C21" s="38" t="inlineStr">
        <is>
          <t>5</t>
        </is>
      </c>
      <c r="D21" s="38" t="inlineStr">
        <is>
          <t>1.5.2</t>
        </is>
      </c>
      <c r="E21" s="38" t="inlineStr">
        <is>
          <t>管理员</t>
        </is>
      </c>
      <c r="F21" s="41" t="inlineStr">
        <is>
          <t>P0</t>
        </is>
      </c>
      <c r="G21" s="40" t="inlineStr">
        <is>
          <t>Phase1 · 当前范围</t>
        </is>
      </c>
      <c r="H21" s="40" t="inlineStr">
        <is>
          <t>拉取源数据库表结构</t>
        </is>
      </c>
      <c r="I21" s="40" t="inlineStr">
        <is>
          <t>选择数据源</t>
        </is>
      </c>
      <c r="J21" s="40" t="inlineStr">
        <is>
          <t>加载可用数据源连接</t>
        </is>
      </c>
      <c r="K21" s="40" t="inlineStr">
        <is>
          <t>进入归档配置</t>
        </is>
      </c>
      <c r="L21" s="40" t="inlineStr">
        <is>
          <t>MetadataManagementService（元数据管理服务）</t>
        </is>
      </c>
      <c r="M21" s="38" t="n">
        <v>2</v>
      </c>
      <c r="N21" s="38" t="n">
        <v>0.5</v>
      </c>
      <c r="O21" s="38" t="n">
        <v>2</v>
      </c>
      <c r="P21" s="38" t="n">
        <v>0</v>
      </c>
      <c r="Q21" s="38" t="n">
        <v>2</v>
      </c>
      <c r="R21" s="38">
        <f>SUM(M21:Q21)</f>
        <v/>
      </c>
      <c r="S21" s="38" t="inlineStr">
        <is>
          <t>未开始</t>
        </is>
      </c>
      <c r="T21" s="38" t="n">
        <v>0</v>
      </c>
      <c r="U21" s="40" t="inlineStr">
        <is>
          <t>后端 JDBC 连接数据源动态拉取</t>
        </is>
      </c>
    </row>
    <row r="22" ht="56" customHeight="1">
      <c r="A22" s="59" t="inlineStr">
        <is>
          <t>ADMIN</t>
        </is>
      </c>
      <c r="B22" s="40" t="inlineStr">
        <is>
          <t>归档配置</t>
        </is>
      </c>
      <c r="C22" s="38" t="inlineStr">
        <is>
          <t>5</t>
        </is>
      </c>
      <c r="D22" s="38" t="inlineStr">
        <is>
          <t>1.5.3</t>
        </is>
      </c>
      <c r="E22" s="38" t="inlineStr">
        <is>
          <t>管理员</t>
        </is>
      </c>
      <c r="F22" s="41" t="inlineStr">
        <is>
          <t>P0</t>
        </is>
      </c>
      <c r="G22" s="40" t="inlineStr">
        <is>
          <t>Phase1 · 当前范围</t>
        </is>
      </c>
      <c r="H22" s="40" t="inlineStr">
        <is>
          <t>拉取源数据库表结构</t>
        </is>
      </c>
      <c r="I22" s="40" t="inlineStr">
        <is>
          <t>拉取表结构</t>
        </is>
      </c>
      <c r="J22" s="40" t="inlineStr">
        <is>
          <t>读取库、表、字段等元数据并展示任务状态</t>
        </is>
      </c>
      <c r="K22" s="40" t="inlineStr">
        <is>
          <t>选择数据源</t>
        </is>
      </c>
      <c r="L22" s="40" t="inlineStr">
        <is>
          <t>MetadataManagementService（元数据管理服务）</t>
        </is>
      </c>
      <c r="M22" s="38" t="n">
        <v>2</v>
      </c>
      <c r="N22" s="38" t="n">
        <v>0.5</v>
      </c>
      <c r="O22" s="38" t="n">
        <v>2</v>
      </c>
      <c r="P22" s="38" t="n">
        <v>0</v>
      </c>
      <c r="Q22" s="38" t="n">
        <v>2</v>
      </c>
      <c r="R22" s="38">
        <f>SUM(M22:Q22)</f>
        <v/>
      </c>
      <c r="S22" s="38" t="inlineStr">
        <is>
          <t>未开始</t>
        </is>
      </c>
      <c r="T22" s="38" t="n">
        <v>0</v>
      </c>
      <c r="U22" s="40" t="inlineStr">
        <is>
          <t>后端 JDBC 连接数据源动态拉取</t>
        </is>
      </c>
    </row>
    <row r="23" ht="56" customHeight="1">
      <c r="A23" s="59" t="inlineStr">
        <is>
          <t>ADMIN</t>
        </is>
      </c>
      <c r="B23" s="40" t="inlineStr">
        <is>
          <t>归档配置</t>
        </is>
      </c>
      <c r="C23" s="38" t="inlineStr">
        <is>
          <t>5</t>
        </is>
      </c>
      <c r="D23" s="38" t="inlineStr">
        <is>
          <t>1.5.4</t>
        </is>
      </c>
      <c r="E23" s="38" t="inlineStr">
        <is>
          <t>管理员</t>
        </is>
      </c>
      <c r="F23" s="41" t="inlineStr">
        <is>
          <t>P0</t>
        </is>
      </c>
      <c r="G23" s="40" t="inlineStr">
        <is>
          <t>Phase1 · 当前范围</t>
        </is>
      </c>
      <c r="H23" s="40" t="inlineStr">
        <is>
          <t>拉取源数据库表结构</t>
        </is>
      </c>
      <c r="I23" s="40" t="inlineStr">
        <is>
          <t>刷新表结构</t>
        </is>
      </c>
      <c r="J23" s="40" t="inlineStr">
        <is>
          <t>更新最新元数据并提示差异</t>
        </is>
      </c>
      <c r="K23" s="40" t="inlineStr">
        <is>
          <t>拉取表结构</t>
        </is>
      </c>
      <c r="L23" s="40" t="inlineStr">
        <is>
          <t>MetadataManagementService（元数据管理服务）</t>
        </is>
      </c>
      <c r="M23" s="38" t="n">
        <v>2</v>
      </c>
      <c r="N23" s="38" t="n">
        <v>0.5</v>
      </c>
      <c r="O23" s="38" t="n">
        <v>2</v>
      </c>
      <c r="P23" s="38" t="n">
        <v>0</v>
      </c>
      <c r="Q23" s="38" t="n">
        <v>2</v>
      </c>
      <c r="R23" s="38">
        <f>SUM(M23:Q23)</f>
        <v/>
      </c>
      <c r="S23" s="38" t="inlineStr">
        <is>
          <t>未开始</t>
        </is>
      </c>
      <c r="T23" s="38" t="n">
        <v>0</v>
      </c>
      <c r="U23" s="40" t="inlineStr">
        <is>
          <t>后端 JDBC 连接数据源动态拉取</t>
        </is>
      </c>
    </row>
    <row r="24" ht="56" customHeight="1">
      <c r="A24" s="59" t="inlineStr">
        <is>
          <t>ADMIN</t>
        </is>
      </c>
      <c r="B24" s="40" t="inlineStr">
        <is>
          <t>归档配置</t>
        </is>
      </c>
      <c r="C24" s="38" t="inlineStr">
        <is>
          <t>6</t>
        </is>
      </c>
      <c r="D24" s="38" t="inlineStr">
        <is>
          <t>1.6.1</t>
        </is>
      </c>
      <c r="E24" s="38" t="inlineStr">
        <is>
          <t>管理员</t>
        </is>
      </c>
      <c r="F24" s="41" t="inlineStr">
        <is>
          <t>P0</t>
        </is>
      </c>
      <c r="G24" s="40" t="inlineStr">
        <is>
          <t>Phase1 · 当前范围</t>
        </is>
      </c>
      <c r="H24" s="40" t="inlineStr">
        <is>
          <t>勾选需要备份的表【或上传同步表清单】</t>
        </is>
      </c>
      <c r="I24" s="40" t="inlineStr">
        <is>
          <t>打开同步表清单</t>
        </is>
      </c>
      <c r="J24" s="40" t="inlineStr">
        <is>
          <t>展示可归档表及当前选择状态</t>
        </is>
      </c>
      <c r="K24" s="40" t="inlineStr">
        <is>
          <t>拉取源数据库表结构</t>
        </is>
      </c>
      <c r="L24" s="40" t="inlineStr">
        <is>
          <t>ArchiveConfigService（归档配置服务）</t>
        </is>
      </c>
      <c r="M24" s="38" t="n">
        <v>0</v>
      </c>
      <c r="N24" s="38" t="n">
        <v>0.5</v>
      </c>
      <c r="O24" s="38" t="n">
        <v>0.5</v>
      </c>
      <c r="P24" s="38" t="n">
        <v>0</v>
      </c>
      <c r="Q24" s="38" t="n">
        <v>0</v>
      </c>
      <c r="R24" s="38">
        <f>SUM(M24:Q24)</f>
        <v/>
      </c>
      <c r="S24" s="38" t="inlineStr">
        <is>
          <t>未开始</t>
        </is>
      </c>
      <c r="T24" s="38" t="n">
        <v>0</v>
      </c>
      <c r="U24" s="40" t="inlineStr">
        <is>
          <t>勾选与上传清单同一界面；上传为 Excel 模板可选增强</t>
        </is>
      </c>
    </row>
    <row r="25" ht="56" customHeight="1">
      <c r="A25" s="59" t="inlineStr">
        <is>
          <t>ADMIN</t>
        </is>
      </c>
      <c r="B25" s="40" t="inlineStr">
        <is>
          <t>归档配置</t>
        </is>
      </c>
      <c r="C25" s="38" t="inlineStr">
        <is>
          <t>6</t>
        </is>
      </c>
      <c r="D25" s="38" t="inlineStr">
        <is>
          <t>1.6.2</t>
        </is>
      </c>
      <c r="E25" s="38" t="inlineStr">
        <is>
          <t>管理员</t>
        </is>
      </c>
      <c r="F25" s="41" t="inlineStr">
        <is>
          <t>P0</t>
        </is>
      </c>
      <c r="G25" s="40" t="inlineStr">
        <is>
          <t>Phase1 · 当前范围</t>
        </is>
      </c>
      <c r="H25" s="40" t="inlineStr">
        <is>
          <t>勾选需要备份的表【或上传同步表清单】</t>
        </is>
      </c>
      <c r="I25" s="40" t="inlineStr">
        <is>
          <t>勾选同步表</t>
        </is>
      </c>
      <c r="J25" s="40" t="inlineStr">
        <is>
          <t>记录需要归档的表范围</t>
        </is>
      </c>
      <c r="K25" s="40" t="inlineStr">
        <is>
          <t>打开同步表清单</t>
        </is>
      </c>
      <c r="L25" s="40" t="inlineStr">
        <is>
          <t>ArchiveConfigService（归档配置服务）</t>
        </is>
      </c>
      <c r="M25" s="38" t="n">
        <v>0</v>
      </c>
      <c r="N25" s="38" t="n">
        <v>0.5</v>
      </c>
      <c r="O25" s="38" t="n">
        <v>0.5</v>
      </c>
      <c r="P25" s="38" t="n">
        <v>0</v>
      </c>
      <c r="Q25" s="38" t="n">
        <v>0</v>
      </c>
      <c r="R25" s="38">
        <f>SUM(M25:Q25)</f>
        <v/>
      </c>
      <c r="S25" s="38" t="inlineStr">
        <is>
          <t>未开始</t>
        </is>
      </c>
      <c r="T25" s="38" t="n">
        <v>0</v>
      </c>
      <c r="U25" s="40" t="inlineStr">
        <is>
          <t>勾选与上传清单同一界面；上传为 Excel 模板可选增强</t>
        </is>
      </c>
    </row>
    <row r="26" ht="56" customHeight="1">
      <c r="A26" s="59" t="inlineStr">
        <is>
          <t>ADMIN</t>
        </is>
      </c>
      <c r="B26" s="40" t="inlineStr">
        <is>
          <t>归档配置</t>
        </is>
      </c>
      <c r="C26" s="38" t="inlineStr">
        <is>
          <t>6</t>
        </is>
      </c>
      <c r="D26" s="38" t="inlineStr">
        <is>
          <t>1.6.3</t>
        </is>
      </c>
      <c r="E26" s="38" t="inlineStr">
        <is>
          <t>管理员</t>
        </is>
      </c>
      <c r="F26" s="41" t="inlineStr">
        <is>
          <t>P0</t>
        </is>
      </c>
      <c r="G26" s="40" t="inlineStr">
        <is>
          <t>Phase1 · 当前范围</t>
        </is>
      </c>
      <c r="H26" s="40" t="inlineStr">
        <is>
          <t>勾选需要备份的表【或上传同步表清单】</t>
        </is>
      </c>
      <c r="I26" s="40" t="inlineStr">
        <is>
          <t>上传同步表清单</t>
        </is>
      </c>
      <c r="J26" s="40" t="inlineStr">
        <is>
          <t>解析标准模板并导入表清单</t>
        </is>
      </c>
      <c r="K26" s="40" t="inlineStr">
        <is>
          <t>打开同步表清单</t>
        </is>
      </c>
      <c r="L26" s="40" t="inlineStr">
        <is>
          <t>ArchiveConfigService（归档配置服务）</t>
        </is>
      </c>
      <c r="M26" s="38" t="n">
        <v>0</v>
      </c>
      <c r="N26" s="38" t="n">
        <v>0.5</v>
      </c>
      <c r="O26" s="38" t="n">
        <v>0.5</v>
      </c>
      <c r="P26" s="38" t="n">
        <v>0</v>
      </c>
      <c r="Q26" s="38" t="n">
        <v>0</v>
      </c>
      <c r="R26" s="38">
        <f>SUM(M26:Q26)</f>
        <v/>
      </c>
      <c r="S26" s="38" t="inlineStr">
        <is>
          <t>未开始</t>
        </is>
      </c>
      <c r="T26" s="38" t="n">
        <v>0</v>
      </c>
      <c r="U26" s="40" t="inlineStr">
        <is>
          <t>勾选与上传清单同一界面；上传为 Excel 模板可选增强</t>
        </is>
      </c>
    </row>
    <row r="27" ht="56" customHeight="1">
      <c r="A27" s="59" t="inlineStr">
        <is>
          <t>ADMIN</t>
        </is>
      </c>
      <c r="B27" s="40" t="inlineStr">
        <is>
          <t>归档配置</t>
        </is>
      </c>
      <c r="C27" s="38" t="inlineStr">
        <is>
          <t>6</t>
        </is>
      </c>
      <c r="D27" s="38" t="inlineStr">
        <is>
          <t>1.6.4</t>
        </is>
      </c>
      <c r="E27" s="38" t="inlineStr">
        <is>
          <t>管理员</t>
        </is>
      </c>
      <c r="F27" s="41" t="inlineStr">
        <is>
          <t>P0</t>
        </is>
      </c>
      <c r="G27" s="40" t="inlineStr">
        <is>
          <t>Phase1 · 当前范围</t>
        </is>
      </c>
      <c r="H27" s="40" t="inlineStr">
        <is>
          <t>勾选需要备份的表【或上传同步表清单】</t>
        </is>
      </c>
      <c r="I27" s="40" t="inlineStr">
        <is>
          <t>校验同步表清单</t>
        </is>
      </c>
      <c r="J27" s="40" t="inlineStr">
        <is>
          <t>校验格式、表是否存在及重复项</t>
        </is>
      </c>
      <c r="K27" s="40" t="inlineStr">
        <is>
          <t>勾选同步表/上传同步表清单</t>
        </is>
      </c>
      <c r="L27" s="40" t="inlineStr">
        <is>
          <t>ArchiveConfigService（归档配置服务）</t>
        </is>
      </c>
      <c r="M27" s="38" t="n">
        <v>0</v>
      </c>
      <c r="N27" s="38" t="n">
        <v>0.5</v>
      </c>
      <c r="O27" s="38" t="n">
        <v>0.5</v>
      </c>
      <c r="P27" s="38" t="n">
        <v>0</v>
      </c>
      <c r="Q27" s="38" t="n">
        <v>0</v>
      </c>
      <c r="R27" s="38">
        <f>SUM(M27:Q27)</f>
        <v/>
      </c>
      <c r="S27" s="38" t="inlineStr">
        <is>
          <t>未开始</t>
        </is>
      </c>
      <c r="T27" s="38" t="n">
        <v>0</v>
      </c>
      <c r="U27" s="40" t="inlineStr">
        <is>
          <t>勾选与上传清单同一界面；上传为 Excel 模板可选增强</t>
        </is>
      </c>
    </row>
    <row r="28" ht="56" customHeight="1">
      <c r="A28" s="59" t="inlineStr">
        <is>
          <t>ADMIN</t>
        </is>
      </c>
      <c r="B28" s="40" t="inlineStr">
        <is>
          <t>归档配置</t>
        </is>
      </c>
      <c r="C28" s="38" t="inlineStr">
        <is>
          <t>6</t>
        </is>
      </c>
      <c r="D28" s="38" t="inlineStr">
        <is>
          <t>1.6.5</t>
        </is>
      </c>
      <c r="E28" s="38" t="inlineStr">
        <is>
          <t>管理员</t>
        </is>
      </c>
      <c r="F28" s="41" t="inlineStr">
        <is>
          <t>P0</t>
        </is>
      </c>
      <c r="G28" s="40" t="inlineStr">
        <is>
          <t>Phase1 · 当前范围</t>
        </is>
      </c>
      <c r="H28" s="40" t="inlineStr">
        <is>
          <t>勾选需要备份的表【或上传同步表清单】</t>
        </is>
      </c>
      <c r="I28" s="40" t="inlineStr">
        <is>
          <t>保存归档范围</t>
        </is>
      </c>
      <c r="J28" s="40" t="inlineStr">
        <is>
          <t>保存最终同步表范围并支持预览</t>
        </is>
      </c>
      <c r="K28" s="40" t="inlineStr">
        <is>
          <t>校验同步表清单</t>
        </is>
      </c>
      <c r="L28" s="40" t="inlineStr">
        <is>
          <t>ArchiveConfigService（归档配置服务）</t>
        </is>
      </c>
      <c r="M28" s="38" t="n">
        <v>0</v>
      </c>
      <c r="N28" s="38" t="n">
        <v>0.5</v>
      </c>
      <c r="O28" s="38" t="n">
        <v>0.5</v>
      </c>
      <c r="P28" s="38" t="n">
        <v>0</v>
      </c>
      <c r="Q28" s="38" t="n">
        <v>0</v>
      </c>
      <c r="R28" s="38">
        <f>SUM(M28:Q28)</f>
        <v/>
      </c>
      <c r="S28" s="38" t="inlineStr">
        <is>
          <t>未开始</t>
        </is>
      </c>
      <c r="T28" s="38" t="n">
        <v>0</v>
      </c>
      <c r="U28" s="40" t="inlineStr">
        <is>
          <t>勾选与上传清单同一界面；上传为 Excel 模板可选增强</t>
        </is>
      </c>
    </row>
    <row r="29" ht="56" customHeight="1">
      <c r="A29" s="59" t="inlineStr">
        <is>
          <t>ADMIN</t>
        </is>
      </c>
      <c r="B29" s="40" t="inlineStr">
        <is>
          <t>归档配置</t>
        </is>
      </c>
      <c r="C29" s="38" t="inlineStr">
        <is>
          <t>7</t>
        </is>
      </c>
      <c r="D29" s="38" t="inlineStr">
        <is>
          <t>1.7.1</t>
        </is>
      </c>
      <c r="E29" s="38" t="inlineStr">
        <is>
          <t>管理员</t>
        </is>
      </c>
      <c r="F29" s="41" t="inlineStr">
        <is>
          <t>P0</t>
        </is>
      </c>
      <c r="G29" s="40" t="inlineStr">
        <is>
          <t>Phase1 · 当前范围</t>
        </is>
      </c>
      <c r="H29" s="40" t="inlineStr">
        <is>
          <t>敏感字段标识</t>
        </is>
      </c>
      <c r="I29" s="40" t="inlineStr">
        <is>
          <t>打开字段清单</t>
        </is>
      </c>
      <c r="J29" s="40" t="inlineStr">
        <is>
          <t>展示选中表的字段元数据</t>
        </is>
      </c>
      <c r="K29" s="40" t="inlineStr">
        <is>
          <t>拉取源数据库表结构</t>
        </is>
      </c>
      <c r="L29" s="40" t="inlineStr">
        <is>
          <t>MetadataManagementService</t>
        </is>
      </c>
      <c r="M29" s="38" t="n">
        <v>0</v>
      </c>
      <c r="N29" s="38" t="n">
        <v>0.5</v>
      </c>
      <c r="O29" s="38" t="n">
        <v>1</v>
      </c>
      <c r="P29" s="38" t="n">
        <v>0</v>
      </c>
      <c r="Q29" s="38" t="n">
        <v>0</v>
      </c>
      <c r="R29" s="38">
        <f>SUM(M29:Q29)</f>
        <v/>
      </c>
      <c r="S29" s="38" t="inlineStr">
        <is>
          <t>未开始</t>
        </is>
      </c>
      <c r="T29" s="38" t="n">
        <v>0</v>
      </c>
      <c r="U29" s="40" t="inlineStr">
        <is>
          <t>获取 Key Vault 密钥，使用 RIMS 统一加密算法</t>
        </is>
      </c>
    </row>
    <row r="30" ht="56" customHeight="1">
      <c r="A30" s="59" t="inlineStr">
        <is>
          <t>ADMIN</t>
        </is>
      </c>
      <c r="B30" s="40" t="inlineStr">
        <is>
          <t>归档配置</t>
        </is>
      </c>
      <c r="C30" s="38" t="inlineStr">
        <is>
          <t>7</t>
        </is>
      </c>
      <c r="D30" s="38" t="inlineStr">
        <is>
          <t>1.7.2</t>
        </is>
      </c>
      <c r="E30" s="38" t="inlineStr">
        <is>
          <t>管理员</t>
        </is>
      </c>
      <c r="F30" s="41" t="inlineStr">
        <is>
          <t>P0</t>
        </is>
      </c>
      <c r="G30" s="40" t="inlineStr">
        <is>
          <t>Phase1 · 当前范围</t>
        </is>
      </c>
      <c r="H30" s="40" t="inlineStr">
        <is>
          <t>敏感字段标识</t>
        </is>
      </c>
      <c r="I30" s="40" t="inlineStr">
        <is>
          <t>标识敏感字段</t>
        </is>
      </c>
      <c r="J30" s="40" t="inlineStr">
        <is>
          <t>保存敏感字段及字段级标识</t>
        </is>
      </c>
      <c r="K30" s="40" t="inlineStr">
        <is>
          <t>打开字段清单</t>
        </is>
      </c>
      <c r="L30" s="40" t="inlineStr">
        <is>
          <t>MetadataManagementService</t>
        </is>
      </c>
      <c r="M30" s="38" t="n">
        <v>0</v>
      </c>
      <c r="N30" s="38" t="n">
        <v>0.5</v>
      </c>
      <c r="O30" s="38" t="n">
        <v>1</v>
      </c>
      <c r="P30" s="38" t="n">
        <v>0</v>
      </c>
      <c r="Q30" s="38" t="n">
        <v>0</v>
      </c>
      <c r="R30" s="38">
        <f>SUM(M30:Q30)</f>
        <v/>
      </c>
      <c r="S30" s="38" t="inlineStr">
        <is>
          <t>未开始</t>
        </is>
      </c>
      <c r="T30" s="38" t="n">
        <v>0</v>
      </c>
      <c r="U30" s="40" t="inlineStr">
        <is>
          <t>获取 Key Vault 密钥，使用 RIMS 统一加密算法</t>
        </is>
      </c>
    </row>
    <row r="31" ht="56" customHeight="1">
      <c r="A31" s="59" t="inlineStr">
        <is>
          <t>ADMIN</t>
        </is>
      </c>
      <c r="B31" s="40" t="inlineStr">
        <is>
          <t>归档配置</t>
        </is>
      </c>
      <c r="C31" s="38" t="inlineStr">
        <is>
          <t>7</t>
        </is>
      </c>
      <c r="D31" s="38" t="inlineStr">
        <is>
          <t>1.7.3</t>
        </is>
      </c>
      <c r="E31" s="38" t="inlineStr">
        <is>
          <t>管理员</t>
        </is>
      </c>
      <c r="F31" s="41" t="inlineStr">
        <is>
          <t>P0</t>
        </is>
      </c>
      <c r="G31" s="40" t="inlineStr">
        <is>
          <t>Phase1 · 当前范围</t>
        </is>
      </c>
      <c r="H31" s="40" t="inlineStr">
        <is>
          <t>敏感字段标识</t>
        </is>
      </c>
      <c r="I31" s="40" t="inlineStr">
        <is>
          <t>关联加密密钥</t>
        </is>
      </c>
      <c r="J31" s="40" t="inlineStr">
        <is>
          <t>获取 Key Vault 密钥并校验可用性</t>
        </is>
      </c>
      <c r="K31" s="40" t="inlineStr">
        <is>
          <t>标识敏感字段</t>
        </is>
      </c>
      <c r="L31" s="40" t="inlineStr">
        <is>
          <t>MetadataManagementService</t>
        </is>
      </c>
      <c r="M31" s="38" t="n">
        <v>0</v>
      </c>
      <c r="N31" s="38" t="n">
        <v>0.5</v>
      </c>
      <c r="O31" s="38" t="n">
        <v>1</v>
      </c>
      <c r="P31" s="38" t="n">
        <v>0</v>
      </c>
      <c r="Q31" s="38" t="n">
        <v>0</v>
      </c>
      <c r="R31" s="38">
        <f>SUM(M31:Q31)</f>
        <v/>
      </c>
      <c r="S31" s="38" t="inlineStr">
        <is>
          <t>未开始</t>
        </is>
      </c>
      <c r="T31" s="38" t="n">
        <v>0</v>
      </c>
      <c r="U31" s="40" t="inlineStr">
        <is>
          <t>获取 Key Vault 密钥，使用 RIMS 统一加密算法</t>
        </is>
      </c>
    </row>
    <row r="32" ht="56" customHeight="1">
      <c r="A32" s="59" t="inlineStr">
        <is>
          <t>ADMIN</t>
        </is>
      </c>
      <c r="B32" s="40" t="inlineStr">
        <is>
          <t>归档配置</t>
        </is>
      </c>
      <c r="C32" s="38" t="inlineStr">
        <is>
          <t>7</t>
        </is>
      </c>
      <c r="D32" s="38" t="inlineStr">
        <is>
          <t>1.7.4</t>
        </is>
      </c>
      <c r="E32" s="38" t="inlineStr">
        <is>
          <t>管理员</t>
        </is>
      </c>
      <c r="F32" s="41" t="inlineStr">
        <is>
          <t>P0</t>
        </is>
      </c>
      <c r="G32" s="40" t="inlineStr">
        <is>
          <t>Phase1 · 当前范围</t>
        </is>
      </c>
      <c r="H32" s="40" t="inlineStr">
        <is>
          <t>敏感字段标识</t>
        </is>
      </c>
      <c r="I32" s="40" t="inlineStr">
        <is>
          <t>保存字段标识</t>
        </is>
      </c>
      <c r="J32" s="40" t="inlineStr">
        <is>
          <t>将敏感字段配置用于后续转换规则</t>
        </is>
      </c>
      <c r="K32" s="40" t="inlineStr">
        <is>
          <t>关联加密密钥</t>
        </is>
      </c>
      <c r="L32" s="40" t="inlineStr">
        <is>
          <t>MetadataManagementService</t>
        </is>
      </c>
      <c r="M32" s="38" t="n">
        <v>0</v>
      </c>
      <c r="N32" s="38" t="n">
        <v>0.5</v>
      </c>
      <c r="O32" s="38" t="n">
        <v>1</v>
      </c>
      <c r="P32" s="38" t="n">
        <v>0</v>
      </c>
      <c r="Q32" s="38" t="n">
        <v>0</v>
      </c>
      <c r="R32" s="38">
        <f>SUM(M32:Q32)</f>
        <v/>
      </c>
      <c r="S32" s="38" t="inlineStr">
        <is>
          <t>未开始</t>
        </is>
      </c>
      <c r="T32" s="38" t="n">
        <v>0</v>
      </c>
      <c r="U32" s="40" t="inlineStr">
        <is>
          <t>获取 Key Vault 密钥，使用 RIMS 统一加密算法</t>
        </is>
      </c>
    </row>
    <row r="33" ht="56" customHeight="1">
      <c r="A33" s="59" t="inlineStr">
        <is>
          <t>ADMIN</t>
        </is>
      </c>
      <c r="B33" s="40" t="inlineStr">
        <is>
          <t>归档配置</t>
        </is>
      </c>
      <c r="C33" s="38" t="inlineStr">
        <is>
          <t>8</t>
        </is>
      </c>
      <c r="D33" s="38" t="inlineStr">
        <is>
          <t>1.8.1</t>
        </is>
      </c>
      <c r="E33" s="38" t="inlineStr">
        <is>
          <t>管理员</t>
        </is>
      </c>
      <c r="F33" s="41" t="inlineStr">
        <is>
          <t>P0</t>
        </is>
      </c>
      <c r="G33" s="40" t="inlineStr">
        <is>
          <t>Phase1 · 当前范围</t>
        </is>
      </c>
      <c r="H33" s="40" t="inlineStr">
        <is>
          <t>配置转换字段：字段加解密规则</t>
        </is>
      </c>
      <c r="I33" s="40" t="inlineStr">
        <is>
          <t>打开加解密规则配置</t>
        </is>
      </c>
      <c r="J33" s="40" t="inlineStr">
        <is>
          <t>展示可配置字段及当前规则</t>
        </is>
      </c>
      <c r="K33" s="40" t="inlineStr">
        <is>
          <t>敏感字段标识</t>
        </is>
      </c>
      <c r="L33" s="40" t="inlineStr">
        <is>
          <t>DataProcessingRuleService（数据处理规则服务）</t>
        </is>
      </c>
      <c r="M33" s="38" t="n">
        <v>2</v>
      </c>
      <c r="N33" s="38" t="n">
        <v>1</v>
      </c>
      <c r="O33" s="38" t="n">
        <v>2</v>
      </c>
      <c r="P33" s="38" t="n">
        <v>0</v>
      </c>
      <c r="Q33" s="38" t="n">
        <v>0</v>
      </c>
      <c r="R33" s="38">
        <f>SUM(M33:Q33)</f>
        <v/>
      </c>
      <c r="S33" s="38" t="inlineStr">
        <is>
          <t>未开始</t>
        </is>
      </c>
      <c r="T33" s="38" t="n">
        <v>0</v>
      </c>
      <c r="U33" s="40" t="inlineStr">
        <is>
          <t>先解密源数据，再用 RIMS 密钥重新加密</t>
        </is>
      </c>
    </row>
    <row r="34" ht="56" customHeight="1">
      <c r="A34" s="59" t="inlineStr">
        <is>
          <t>ADMIN</t>
        </is>
      </c>
      <c r="B34" s="40" t="inlineStr">
        <is>
          <t>归档配置</t>
        </is>
      </c>
      <c r="C34" s="38" t="inlineStr">
        <is>
          <t>8</t>
        </is>
      </c>
      <c r="D34" s="38" t="inlineStr">
        <is>
          <t>1.8.2</t>
        </is>
      </c>
      <c r="E34" s="38" t="inlineStr">
        <is>
          <t>管理员</t>
        </is>
      </c>
      <c r="F34" s="41" t="inlineStr">
        <is>
          <t>P0</t>
        </is>
      </c>
      <c r="G34" s="40" t="inlineStr">
        <is>
          <t>Phase1 · 当前范围</t>
        </is>
      </c>
      <c r="H34" s="40" t="inlineStr">
        <is>
          <t>配置转换字段：字段加解密规则</t>
        </is>
      </c>
      <c r="I34" s="40" t="inlineStr">
        <is>
          <t>选择加解密字段</t>
        </is>
      </c>
      <c r="J34" s="40" t="inlineStr">
        <is>
          <t>确定需要处理的字段</t>
        </is>
      </c>
      <c r="K34" s="40" t="inlineStr">
        <is>
          <t>打开加解密规则配置</t>
        </is>
      </c>
      <c r="L34" s="40" t="inlineStr">
        <is>
          <t>DataProcessingRuleService（数据处理规则服务）</t>
        </is>
      </c>
      <c r="M34" s="38" t="n">
        <v>2</v>
      </c>
      <c r="N34" s="38" t="n">
        <v>1</v>
      </c>
      <c r="O34" s="38" t="n">
        <v>2</v>
      </c>
      <c r="P34" s="38" t="n">
        <v>0</v>
      </c>
      <c r="Q34" s="38" t="n">
        <v>0</v>
      </c>
      <c r="R34" s="38">
        <f>SUM(M34:Q34)</f>
        <v/>
      </c>
      <c r="S34" s="38" t="inlineStr">
        <is>
          <t>未开始</t>
        </is>
      </c>
      <c r="T34" s="38" t="n">
        <v>0</v>
      </c>
      <c r="U34" s="40" t="inlineStr">
        <is>
          <t>先解密源数据，再用 RIMS 密钥重新加密</t>
        </is>
      </c>
    </row>
    <row r="35" ht="56" customHeight="1">
      <c r="A35" s="59" t="inlineStr">
        <is>
          <t>ADMIN</t>
        </is>
      </c>
      <c r="B35" s="40" t="inlineStr">
        <is>
          <t>归档配置</t>
        </is>
      </c>
      <c r="C35" s="38" t="inlineStr">
        <is>
          <t>8</t>
        </is>
      </c>
      <c r="D35" s="38" t="inlineStr">
        <is>
          <t>1.8.3</t>
        </is>
      </c>
      <c r="E35" s="38" t="inlineStr">
        <is>
          <t>管理员</t>
        </is>
      </c>
      <c r="F35" s="41" t="inlineStr">
        <is>
          <t>P0</t>
        </is>
      </c>
      <c r="G35" s="40" t="inlineStr">
        <is>
          <t>Phase1 · 当前范围</t>
        </is>
      </c>
      <c r="H35" s="40" t="inlineStr">
        <is>
          <t>配置转换字段：字段加解密规则</t>
        </is>
      </c>
      <c r="I35" s="40" t="inlineStr">
        <is>
          <t>配置加解密算法和密钥</t>
        </is>
      </c>
      <c r="J35" s="40" t="inlineStr">
        <is>
          <t>校验规则和密钥引用</t>
        </is>
      </c>
      <c r="K35" s="40" t="inlineStr">
        <is>
          <t>选择加解密字段</t>
        </is>
      </c>
      <c r="L35" s="40" t="inlineStr">
        <is>
          <t>DataProcessingRuleService（数据处理规则服务）</t>
        </is>
      </c>
      <c r="M35" s="38" t="n">
        <v>2</v>
      </c>
      <c r="N35" s="38" t="n">
        <v>1</v>
      </c>
      <c r="O35" s="38" t="n">
        <v>2</v>
      </c>
      <c r="P35" s="38" t="n">
        <v>0</v>
      </c>
      <c r="Q35" s="38" t="n">
        <v>0</v>
      </c>
      <c r="R35" s="38">
        <f>SUM(M35:Q35)</f>
        <v/>
      </c>
      <c r="S35" s="38" t="inlineStr">
        <is>
          <t>未开始</t>
        </is>
      </c>
      <c r="T35" s="38" t="n">
        <v>0</v>
      </c>
      <c r="U35" s="40" t="inlineStr">
        <is>
          <t>先解密源数据，再用 RIMS 密钥重新加密</t>
        </is>
      </c>
    </row>
    <row r="36" ht="56" customHeight="1">
      <c r="A36" s="59" t="inlineStr">
        <is>
          <t>ADMIN</t>
        </is>
      </c>
      <c r="B36" s="40" t="inlineStr">
        <is>
          <t>归档配置</t>
        </is>
      </c>
      <c r="C36" s="38" t="inlineStr">
        <is>
          <t>8</t>
        </is>
      </c>
      <c r="D36" s="38" t="inlineStr">
        <is>
          <t>1.8.4</t>
        </is>
      </c>
      <c r="E36" s="38" t="inlineStr">
        <is>
          <t>管理员</t>
        </is>
      </c>
      <c r="F36" s="41" t="inlineStr">
        <is>
          <t>P0</t>
        </is>
      </c>
      <c r="G36" s="40" t="inlineStr">
        <is>
          <t>Phase1 · 当前范围</t>
        </is>
      </c>
      <c r="H36" s="40" t="inlineStr">
        <is>
          <t>配置转换字段：字段加解密规则</t>
        </is>
      </c>
      <c r="I36" s="40" t="inlineStr">
        <is>
          <t>保存加解密规则</t>
        </is>
      </c>
      <c r="J36" s="40" t="inlineStr">
        <is>
          <t>保存归档时重新加密规则</t>
        </is>
      </c>
      <c r="K36" s="40" t="inlineStr">
        <is>
          <t>配置加解密算法和密钥</t>
        </is>
      </c>
      <c r="L36" s="40" t="inlineStr">
        <is>
          <t>DataProcessingRuleService（数据处理规则服务）</t>
        </is>
      </c>
      <c r="M36" s="38" t="n">
        <v>2</v>
      </c>
      <c r="N36" s="38" t="n">
        <v>1</v>
      </c>
      <c r="O36" s="38" t="n">
        <v>2</v>
      </c>
      <c r="P36" s="38" t="n">
        <v>0</v>
      </c>
      <c r="Q36" s="38" t="n">
        <v>0</v>
      </c>
      <c r="R36" s="38">
        <f>SUM(M36:Q36)</f>
        <v/>
      </c>
      <c r="S36" s="38" t="inlineStr">
        <is>
          <t>未开始</t>
        </is>
      </c>
      <c r="T36" s="38" t="n">
        <v>0</v>
      </c>
      <c r="U36" s="40" t="inlineStr">
        <is>
          <t>先解密源数据，再用 RIMS 密钥重新加密</t>
        </is>
      </c>
    </row>
    <row r="37" ht="56" customHeight="1">
      <c r="A37" s="59" t="inlineStr">
        <is>
          <t>ADMIN</t>
        </is>
      </c>
      <c r="B37" s="40" t="inlineStr">
        <is>
          <t>归档配置</t>
        </is>
      </c>
      <c r="C37" s="38" t="inlineStr">
        <is>
          <t>9</t>
        </is>
      </c>
      <c r="D37" s="38" t="inlineStr">
        <is>
          <t>1.9.1</t>
        </is>
      </c>
      <c r="E37" s="38" t="inlineStr">
        <is>
          <t>管理员</t>
        </is>
      </c>
      <c r="F37" s="41" t="inlineStr">
        <is>
          <t>P0</t>
        </is>
      </c>
      <c r="G37" s="40" t="inlineStr">
        <is>
          <t>Phase1 · 当前范围</t>
        </is>
      </c>
      <c r="H37" s="40" t="inlineStr">
        <is>
          <t>配置转换字段：数据脱敏规则</t>
        </is>
      </c>
      <c r="I37" s="40" t="inlineStr">
        <is>
          <t>打开脱敏规则配置</t>
        </is>
      </c>
      <c r="J37" s="40" t="inlineStr">
        <is>
          <t>展示可脱敏字段及策略入口</t>
        </is>
      </c>
      <c r="K37" s="40" t="inlineStr">
        <is>
          <t>敏感字段标识</t>
        </is>
      </c>
      <c r="L37" s="40" t="inlineStr">
        <is>
          <t>DataProcessingRuleService</t>
        </is>
      </c>
      <c r="M37" s="38" t="n">
        <v>1</v>
      </c>
      <c r="N37" s="38" t="n">
        <v>2</v>
      </c>
      <c r="O37" s="38" t="n">
        <v>0</v>
      </c>
      <c r="P37" s="38" t="n">
        <v>0</v>
      </c>
      <c r="Q37" s="38" t="n">
        <v>0</v>
      </c>
      <c r="R37" s="38">
        <f>SUM(M37:Q37)</f>
        <v/>
      </c>
      <c r="S37" s="38" t="inlineStr">
        <is>
          <t>未开始</t>
        </is>
      </c>
      <c r="T37" s="38" t="n">
        <v>0</v>
      </c>
      <c r="U37" s="40" t="n"/>
    </row>
    <row r="38" ht="56" customHeight="1">
      <c r="A38" s="59" t="inlineStr">
        <is>
          <t>ADMIN</t>
        </is>
      </c>
      <c r="B38" s="40" t="inlineStr">
        <is>
          <t>归档配置</t>
        </is>
      </c>
      <c r="C38" s="38" t="inlineStr">
        <is>
          <t>9</t>
        </is>
      </c>
      <c r="D38" s="38" t="inlineStr">
        <is>
          <t>1.9.2</t>
        </is>
      </c>
      <c r="E38" s="38" t="inlineStr">
        <is>
          <t>管理员</t>
        </is>
      </c>
      <c r="F38" s="41" t="inlineStr">
        <is>
          <t>P0</t>
        </is>
      </c>
      <c r="G38" s="40" t="inlineStr">
        <is>
          <t>Phase1 · 当前范围</t>
        </is>
      </c>
      <c r="H38" s="40" t="inlineStr">
        <is>
          <t>配置转换字段：数据脱敏规则</t>
        </is>
      </c>
      <c r="I38" s="40" t="inlineStr">
        <is>
          <t>选择脱敏字段</t>
        </is>
      </c>
      <c r="J38" s="40" t="inlineStr">
        <is>
          <t>确定需要脱敏的字段</t>
        </is>
      </c>
      <c r="K38" s="40" t="inlineStr">
        <is>
          <t>打开脱敏规则配置</t>
        </is>
      </c>
      <c r="L38" s="40" t="inlineStr">
        <is>
          <t>DataProcessingRuleService</t>
        </is>
      </c>
      <c r="M38" s="38" t="n">
        <v>1</v>
      </c>
      <c r="N38" s="38" t="n">
        <v>2</v>
      </c>
      <c r="O38" s="38" t="n">
        <v>0</v>
      </c>
      <c r="P38" s="38" t="n">
        <v>0</v>
      </c>
      <c r="Q38" s="38" t="n">
        <v>0</v>
      </c>
      <c r="R38" s="38">
        <f>SUM(M38:Q38)</f>
        <v/>
      </c>
      <c r="S38" s="38" t="inlineStr">
        <is>
          <t>未开始</t>
        </is>
      </c>
      <c r="T38" s="38" t="n">
        <v>0</v>
      </c>
      <c r="U38" s="40" t="n"/>
    </row>
    <row r="39" ht="56" customHeight="1">
      <c r="A39" s="59" t="inlineStr">
        <is>
          <t>ADMIN</t>
        </is>
      </c>
      <c r="B39" s="40" t="inlineStr">
        <is>
          <t>归档配置</t>
        </is>
      </c>
      <c r="C39" s="38" t="inlineStr">
        <is>
          <t>9</t>
        </is>
      </c>
      <c r="D39" s="38" t="inlineStr">
        <is>
          <t>1.9.3</t>
        </is>
      </c>
      <c r="E39" s="38" t="inlineStr">
        <is>
          <t>管理员</t>
        </is>
      </c>
      <c r="F39" s="41" t="inlineStr">
        <is>
          <t>P0</t>
        </is>
      </c>
      <c r="G39" s="40" t="inlineStr">
        <is>
          <t>Phase1 · 当前范围</t>
        </is>
      </c>
      <c r="H39" s="40" t="inlineStr">
        <is>
          <t>配置转换字段：数据脱敏规则</t>
        </is>
      </c>
      <c r="I39" s="40" t="inlineStr">
        <is>
          <t>配置脱敏策略</t>
        </is>
      </c>
      <c r="J39" s="40" t="inlineStr">
        <is>
          <t>校验掩码方式和适用范围</t>
        </is>
      </c>
      <c r="K39" s="40" t="inlineStr">
        <is>
          <t>选择脱敏字段</t>
        </is>
      </c>
      <c r="L39" s="40" t="inlineStr">
        <is>
          <t>DataProcessingRuleService</t>
        </is>
      </c>
      <c r="M39" s="38" t="n">
        <v>1</v>
      </c>
      <c r="N39" s="38" t="n">
        <v>2</v>
      </c>
      <c r="O39" s="38" t="n">
        <v>0</v>
      </c>
      <c r="P39" s="38" t="n">
        <v>0</v>
      </c>
      <c r="Q39" s="38" t="n">
        <v>0</v>
      </c>
      <c r="R39" s="38">
        <f>SUM(M39:Q39)</f>
        <v/>
      </c>
      <c r="S39" s="38" t="inlineStr">
        <is>
          <t>未开始</t>
        </is>
      </c>
      <c r="T39" s="38" t="n">
        <v>0</v>
      </c>
      <c r="U39" s="40" t="n"/>
    </row>
    <row r="40" ht="56" customHeight="1">
      <c r="A40" s="59" t="inlineStr">
        <is>
          <t>ADMIN</t>
        </is>
      </c>
      <c r="B40" s="40" t="inlineStr">
        <is>
          <t>归档配置</t>
        </is>
      </c>
      <c r="C40" s="38" t="inlineStr">
        <is>
          <t>9</t>
        </is>
      </c>
      <c r="D40" s="38" t="inlineStr">
        <is>
          <t>1.9.4</t>
        </is>
      </c>
      <c r="E40" s="38" t="inlineStr">
        <is>
          <t>管理员</t>
        </is>
      </c>
      <c r="F40" s="41" t="inlineStr">
        <is>
          <t>P0</t>
        </is>
      </c>
      <c r="G40" s="40" t="inlineStr">
        <is>
          <t>Phase1 · 当前范围</t>
        </is>
      </c>
      <c r="H40" s="40" t="inlineStr">
        <is>
          <t>配置转换字段：数据脱敏规则</t>
        </is>
      </c>
      <c r="I40" s="40" t="inlineStr">
        <is>
          <t>保存脱敏规则</t>
        </is>
      </c>
      <c r="J40" s="40" t="inlineStr">
        <is>
          <t>保存 ETL 执行时使用的脱敏规则</t>
        </is>
      </c>
      <c r="K40" s="40" t="inlineStr">
        <is>
          <t>配置脱敏策略</t>
        </is>
      </c>
      <c r="L40" s="40" t="inlineStr">
        <is>
          <t>DataProcessingRuleService</t>
        </is>
      </c>
      <c r="M40" s="38" t="n">
        <v>1</v>
      </c>
      <c r="N40" s="38" t="n">
        <v>2</v>
      </c>
      <c r="O40" s="38" t="n">
        <v>0</v>
      </c>
      <c r="P40" s="38" t="n">
        <v>0</v>
      </c>
      <c r="Q40" s="38" t="n">
        <v>0</v>
      </c>
      <c r="R40" s="38">
        <f>SUM(M40:Q40)</f>
        <v/>
      </c>
      <c r="S40" s="38" t="inlineStr">
        <is>
          <t>未开始</t>
        </is>
      </c>
      <c r="T40" s="38" t="n">
        <v>0</v>
      </c>
      <c r="U40" s="40" t="n"/>
    </row>
    <row r="41" ht="56" customHeight="1">
      <c r="A41" s="59" t="inlineStr">
        <is>
          <t>ADMIN</t>
        </is>
      </c>
      <c r="B41" s="40" t="inlineStr">
        <is>
          <t>归档配置</t>
        </is>
      </c>
      <c r="C41" s="38" t="inlineStr">
        <is>
          <t>10</t>
        </is>
      </c>
      <c r="D41" s="38" t="inlineStr">
        <is>
          <t>1.10.1</t>
        </is>
      </c>
      <c r="E41" s="38" t="inlineStr">
        <is>
          <t>管理员</t>
        </is>
      </c>
      <c r="F41" s="41" t="inlineStr">
        <is>
          <t>P0</t>
        </is>
      </c>
      <c r="G41" s="40" t="inlineStr">
        <is>
          <t>Phase1 · 当前范围</t>
        </is>
      </c>
      <c r="H41" s="40" t="inlineStr">
        <is>
          <t>配置转换字段：附件 URL 转换规则</t>
        </is>
      </c>
      <c r="I41" s="40" t="inlineStr">
        <is>
          <t>打开附件 URL 规则配置</t>
        </is>
      </c>
      <c r="J41" s="40" t="inlineStr">
        <is>
          <t>展示源路径与目标路径配置项</t>
        </is>
      </c>
      <c r="K41" s="40" t="inlineStr">
        <is>
          <t>敏感字段标识</t>
        </is>
      </c>
      <c r="L41" s="40" t="inlineStr">
        <is>
          <t>DataProcessingRuleService</t>
        </is>
      </c>
      <c r="M41" s="38" t="n">
        <v>1</v>
      </c>
      <c r="N41" s="38" t="n">
        <v>1</v>
      </c>
      <c r="O41" s="38" t="n">
        <v>0</v>
      </c>
      <c r="P41" s="38" t="n">
        <v>0</v>
      </c>
      <c r="Q41" s="38" t="n">
        <v>0</v>
      </c>
      <c r="R41" s="38">
        <f>SUM(M41:Q41)</f>
        <v/>
      </c>
      <c r="S41" s="38" t="inlineStr">
        <is>
          <t>未开始</t>
        </is>
      </c>
      <c r="T41" s="38" t="n">
        <v>0</v>
      </c>
      <c r="U41" s="40" t="inlineStr">
        <is>
          <t>源附件路径 → 归档 Blob 新路径映射</t>
        </is>
      </c>
    </row>
    <row r="42" ht="56" customHeight="1">
      <c r="A42" s="59" t="inlineStr">
        <is>
          <t>ADMIN</t>
        </is>
      </c>
      <c r="B42" s="40" t="inlineStr">
        <is>
          <t>归档配置</t>
        </is>
      </c>
      <c r="C42" s="38" t="inlineStr">
        <is>
          <t>10</t>
        </is>
      </c>
      <c r="D42" s="38" t="inlineStr">
        <is>
          <t>1.10.2</t>
        </is>
      </c>
      <c r="E42" s="38" t="inlineStr">
        <is>
          <t>管理员</t>
        </is>
      </c>
      <c r="F42" s="41" t="inlineStr">
        <is>
          <t>P0</t>
        </is>
      </c>
      <c r="G42" s="40" t="inlineStr">
        <is>
          <t>Phase1 · 当前范围</t>
        </is>
      </c>
      <c r="H42" s="40" t="inlineStr">
        <is>
          <t>配置转换字段：附件 URL 转换规则</t>
        </is>
      </c>
      <c r="I42" s="40" t="inlineStr">
        <is>
          <t>配置源附件路径</t>
        </is>
      </c>
      <c r="J42" s="40" t="inlineStr">
        <is>
          <t>保存源附件路径规则</t>
        </is>
      </c>
      <c r="K42" s="40" t="inlineStr">
        <is>
          <t>打开附件 URL 规则配置</t>
        </is>
      </c>
      <c r="L42" s="40" t="inlineStr">
        <is>
          <t>DataProcessingRuleService</t>
        </is>
      </c>
      <c r="M42" s="38" t="n">
        <v>1</v>
      </c>
      <c r="N42" s="38" t="n">
        <v>1</v>
      </c>
      <c r="O42" s="38" t="n">
        <v>0</v>
      </c>
      <c r="P42" s="38" t="n">
        <v>0</v>
      </c>
      <c r="Q42" s="38" t="n">
        <v>0</v>
      </c>
      <c r="R42" s="38">
        <f>SUM(M42:Q42)</f>
        <v/>
      </c>
      <c r="S42" s="38" t="inlineStr">
        <is>
          <t>未开始</t>
        </is>
      </c>
      <c r="T42" s="38" t="n">
        <v>0</v>
      </c>
      <c r="U42" s="40" t="inlineStr">
        <is>
          <t>源附件路径 → 归档 Blob 新路径映射</t>
        </is>
      </c>
    </row>
    <row r="43" ht="56" customHeight="1">
      <c r="A43" s="59" t="inlineStr">
        <is>
          <t>ADMIN</t>
        </is>
      </c>
      <c r="B43" s="40" t="inlineStr">
        <is>
          <t>归档配置</t>
        </is>
      </c>
      <c r="C43" s="38" t="inlineStr">
        <is>
          <t>10</t>
        </is>
      </c>
      <c r="D43" s="38" t="inlineStr">
        <is>
          <t>1.10.3</t>
        </is>
      </c>
      <c r="E43" s="38" t="inlineStr">
        <is>
          <t>管理员</t>
        </is>
      </c>
      <c r="F43" s="41" t="inlineStr">
        <is>
          <t>P0</t>
        </is>
      </c>
      <c r="G43" s="40" t="inlineStr">
        <is>
          <t>Phase1 · 当前范围</t>
        </is>
      </c>
      <c r="H43" s="40" t="inlineStr">
        <is>
          <t>配置转换字段：附件 URL 转换规则</t>
        </is>
      </c>
      <c r="I43" s="40" t="inlineStr">
        <is>
          <t>配置归档 Blob 路径</t>
        </is>
      </c>
      <c r="J43" s="40" t="inlineStr">
        <is>
          <t>保存归档路径映射规则</t>
        </is>
      </c>
      <c r="K43" s="40" t="inlineStr">
        <is>
          <t>配置源附件路径</t>
        </is>
      </c>
      <c r="L43" s="40" t="inlineStr">
        <is>
          <t>DataProcessingRuleService</t>
        </is>
      </c>
      <c r="M43" s="38" t="n">
        <v>1</v>
      </c>
      <c r="N43" s="38" t="n">
        <v>1</v>
      </c>
      <c r="O43" s="38" t="n">
        <v>0</v>
      </c>
      <c r="P43" s="38" t="n">
        <v>0</v>
      </c>
      <c r="Q43" s="38" t="n">
        <v>0</v>
      </c>
      <c r="R43" s="38">
        <f>SUM(M43:Q43)</f>
        <v/>
      </c>
      <c r="S43" s="38" t="inlineStr">
        <is>
          <t>未开始</t>
        </is>
      </c>
      <c r="T43" s="38" t="n">
        <v>0</v>
      </c>
      <c r="U43" s="40" t="inlineStr">
        <is>
          <t>源附件路径 → 归档 Blob 新路径映射</t>
        </is>
      </c>
    </row>
    <row r="44" ht="56" customHeight="1">
      <c r="A44" s="59" t="inlineStr">
        <is>
          <t>ADMIN</t>
        </is>
      </c>
      <c r="B44" s="40" t="inlineStr">
        <is>
          <t>归档配置</t>
        </is>
      </c>
      <c r="C44" s="38" t="inlineStr">
        <is>
          <t>10</t>
        </is>
      </c>
      <c r="D44" s="38" t="inlineStr">
        <is>
          <t>1.10.4</t>
        </is>
      </c>
      <c r="E44" s="38" t="inlineStr">
        <is>
          <t>管理员</t>
        </is>
      </c>
      <c r="F44" s="41" t="inlineStr">
        <is>
          <t>P0</t>
        </is>
      </c>
      <c r="G44" s="40" t="inlineStr">
        <is>
          <t>Phase1 · 当前范围</t>
        </is>
      </c>
      <c r="H44" s="40" t="inlineStr">
        <is>
          <t>配置转换字段：附件 URL 转换规则</t>
        </is>
      </c>
      <c r="I44" s="40" t="inlineStr">
        <is>
          <t>保存 URL 转换规则</t>
        </is>
      </c>
      <c r="J44" s="40" t="inlineStr">
        <is>
          <t>生成附件地址转换配置</t>
        </is>
      </c>
      <c r="K44" s="40" t="inlineStr">
        <is>
          <t>配置归档 Blob 路径</t>
        </is>
      </c>
      <c r="L44" s="40" t="inlineStr">
        <is>
          <t>DataProcessingRuleService</t>
        </is>
      </c>
      <c r="M44" s="38" t="n">
        <v>1</v>
      </c>
      <c r="N44" s="38" t="n">
        <v>1</v>
      </c>
      <c r="O44" s="38" t="n">
        <v>0</v>
      </c>
      <c r="P44" s="38" t="n">
        <v>0</v>
      </c>
      <c r="Q44" s="38" t="n">
        <v>0</v>
      </c>
      <c r="R44" s="38">
        <f>SUM(M44:Q44)</f>
        <v/>
      </c>
      <c r="S44" s="38" t="inlineStr">
        <is>
          <t>未开始</t>
        </is>
      </c>
      <c r="T44" s="38" t="n">
        <v>0</v>
      </c>
      <c r="U44" s="40" t="inlineStr">
        <is>
          <t>源附件路径 → 归档 Blob 新路径映射</t>
        </is>
      </c>
    </row>
    <row r="45" ht="56" customHeight="1">
      <c r="A45" s="59" t="inlineStr">
        <is>
          <t>ADMIN</t>
        </is>
      </c>
      <c r="B45" s="40" t="inlineStr">
        <is>
          <t>归档配置</t>
        </is>
      </c>
      <c r="C45" s="38" t="inlineStr">
        <is>
          <t>11</t>
        </is>
      </c>
      <c r="D45" s="38" t="inlineStr">
        <is>
          <t>1.11.1</t>
        </is>
      </c>
      <c r="E45" s="38" t="inlineStr">
        <is>
          <t>管理员</t>
        </is>
      </c>
      <c r="F45" s="41" t="inlineStr">
        <is>
          <t>P0</t>
        </is>
      </c>
      <c r="G45" s="40" t="inlineStr">
        <is>
          <t>Phase1 · 当前范围</t>
        </is>
      </c>
      <c r="H45" s="40" t="inlineStr">
        <is>
          <t>生成 ETL 配置</t>
        </is>
      </c>
      <c r="I45" s="40" t="inlineStr">
        <is>
          <t>汇总归档配置</t>
        </is>
      </c>
      <c r="J45" s="40" t="inlineStr">
        <is>
          <t>加载表、字段和转换规则</t>
        </is>
      </c>
      <c r="K45" s="40" t="inlineStr">
        <is>
          <t>勾选需要备份的表【或上传同步表清单】、转换字段配置</t>
        </is>
      </c>
      <c r="L45" s="40" t="inlineStr">
        <is>
          <t>ArchiveConfigService</t>
        </is>
      </c>
      <c r="M45" s="38" t="n">
        <v>1</v>
      </c>
      <c r="N45" s="38" t="n">
        <v>3</v>
      </c>
      <c r="O45" s="38" t="n">
        <v>1</v>
      </c>
      <c r="P45" s="38" t="n">
        <v>0</v>
      </c>
      <c r="Q45" s="38" t="n">
        <v>0</v>
      </c>
      <c r="R45" s="38">
        <f>SUM(M45:Q45)</f>
        <v/>
      </c>
      <c r="S45" s="38" t="inlineStr">
        <is>
          <t>未开始</t>
        </is>
      </c>
      <c r="T45" s="38" t="n">
        <v>0</v>
      </c>
      <c r="U45" s="40" t="inlineStr">
        <is>
          <t>按配置自动生成抽取/转换任务</t>
        </is>
      </c>
    </row>
    <row r="46" ht="56" customHeight="1">
      <c r="A46" s="59" t="inlineStr">
        <is>
          <t>ADMIN</t>
        </is>
      </c>
      <c r="B46" s="40" t="inlineStr">
        <is>
          <t>归档配置</t>
        </is>
      </c>
      <c r="C46" s="38" t="inlineStr">
        <is>
          <t>11</t>
        </is>
      </c>
      <c r="D46" s="38" t="inlineStr">
        <is>
          <t>1.11.2</t>
        </is>
      </c>
      <c r="E46" s="38" t="inlineStr">
        <is>
          <t>管理员</t>
        </is>
      </c>
      <c r="F46" s="41" t="inlineStr">
        <is>
          <t>P0</t>
        </is>
      </c>
      <c r="G46" s="40" t="inlineStr">
        <is>
          <t>Phase1 · 当前范围</t>
        </is>
      </c>
      <c r="H46" s="40" t="inlineStr">
        <is>
          <t>生成 ETL 配置</t>
        </is>
      </c>
      <c r="I46" s="40" t="inlineStr">
        <is>
          <t>生成 ETL 配置</t>
        </is>
      </c>
      <c r="J46" s="40" t="inlineStr">
        <is>
          <t>生成抽取、转换、装载任务配置</t>
        </is>
      </c>
      <c r="K46" s="40" t="inlineStr">
        <is>
          <t>汇总归档配置</t>
        </is>
      </c>
      <c r="L46" s="40" t="inlineStr">
        <is>
          <t>ArchiveConfigService</t>
        </is>
      </c>
      <c r="M46" s="38" t="n">
        <v>1</v>
      </c>
      <c r="N46" s="38" t="n">
        <v>3</v>
      </c>
      <c r="O46" s="38" t="n">
        <v>1</v>
      </c>
      <c r="P46" s="38" t="n">
        <v>0</v>
      </c>
      <c r="Q46" s="38" t="n">
        <v>0</v>
      </c>
      <c r="R46" s="38">
        <f>SUM(M46:Q46)</f>
        <v/>
      </c>
      <c r="S46" s="38" t="inlineStr">
        <is>
          <t>未开始</t>
        </is>
      </c>
      <c r="T46" s="38" t="n">
        <v>0</v>
      </c>
      <c r="U46" s="40" t="inlineStr">
        <is>
          <t>按配置自动生成抽取/转换任务</t>
        </is>
      </c>
    </row>
    <row r="47" ht="56" customHeight="1">
      <c r="A47" s="59" t="inlineStr">
        <is>
          <t>ADMIN</t>
        </is>
      </c>
      <c r="B47" s="40" t="inlineStr">
        <is>
          <t>归档配置</t>
        </is>
      </c>
      <c r="C47" s="38" t="inlineStr">
        <is>
          <t>11</t>
        </is>
      </c>
      <c r="D47" s="38" t="inlineStr">
        <is>
          <t>1.11.3</t>
        </is>
      </c>
      <c r="E47" s="38" t="inlineStr">
        <is>
          <t>管理员</t>
        </is>
      </c>
      <c r="F47" s="41" t="inlineStr">
        <is>
          <t>P0</t>
        </is>
      </c>
      <c r="G47" s="40" t="inlineStr">
        <is>
          <t>Phase1 · 当前范围</t>
        </is>
      </c>
      <c r="H47" s="40" t="inlineStr">
        <is>
          <t>生成 ETL 配置</t>
        </is>
      </c>
      <c r="I47" s="40" t="inlineStr">
        <is>
          <t>预览 ETL 配置</t>
        </is>
      </c>
      <c r="J47" s="40" t="inlineStr">
        <is>
          <t>展示任务范围、字段映射和规则</t>
        </is>
      </c>
      <c r="K47" s="40" t="inlineStr">
        <is>
          <t>生成 ETL 配置</t>
        </is>
      </c>
      <c r="L47" s="40" t="inlineStr">
        <is>
          <t>ArchiveConfigService</t>
        </is>
      </c>
      <c r="M47" s="38" t="n">
        <v>1</v>
      </c>
      <c r="N47" s="38" t="n">
        <v>3</v>
      </c>
      <c r="O47" s="38" t="n">
        <v>1</v>
      </c>
      <c r="P47" s="38" t="n">
        <v>0</v>
      </c>
      <c r="Q47" s="38" t="n">
        <v>0</v>
      </c>
      <c r="R47" s="38">
        <f>SUM(M47:Q47)</f>
        <v/>
      </c>
      <c r="S47" s="38" t="inlineStr">
        <is>
          <t>未开始</t>
        </is>
      </c>
      <c r="T47" s="38" t="n">
        <v>0</v>
      </c>
      <c r="U47" s="40" t="inlineStr">
        <is>
          <t>按配置自动生成抽取/转换任务</t>
        </is>
      </c>
    </row>
    <row r="48" ht="56" customHeight="1">
      <c r="A48" s="59" t="inlineStr">
        <is>
          <t>ADMIN</t>
        </is>
      </c>
      <c r="B48" s="40" t="inlineStr">
        <is>
          <t>归档配置</t>
        </is>
      </c>
      <c r="C48" s="38" t="inlineStr">
        <is>
          <t>11</t>
        </is>
      </c>
      <c r="D48" s="38" t="inlineStr">
        <is>
          <t>1.11.4</t>
        </is>
      </c>
      <c r="E48" s="38" t="inlineStr">
        <is>
          <t>管理员</t>
        </is>
      </c>
      <c r="F48" s="41" t="inlineStr">
        <is>
          <t>P0</t>
        </is>
      </c>
      <c r="G48" s="40" t="inlineStr">
        <is>
          <t>Phase1 · 当前范围</t>
        </is>
      </c>
      <c r="H48" s="40" t="inlineStr">
        <is>
          <t>生成 ETL 配置</t>
        </is>
      </c>
      <c r="I48" s="40" t="inlineStr">
        <is>
          <t>校验 ETL 配置</t>
        </is>
      </c>
      <c r="J48" s="40" t="inlineStr">
        <is>
          <t>返回缺失配置和冲突项</t>
        </is>
      </c>
      <c r="K48" s="40" t="inlineStr">
        <is>
          <t>预览 ETL 配置</t>
        </is>
      </c>
      <c r="L48" s="40" t="inlineStr">
        <is>
          <t>ArchiveConfigService</t>
        </is>
      </c>
      <c r="M48" s="38" t="n">
        <v>1</v>
      </c>
      <c r="N48" s="38" t="n">
        <v>3</v>
      </c>
      <c r="O48" s="38" t="n">
        <v>1</v>
      </c>
      <c r="P48" s="38" t="n">
        <v>0</v>
      </c>
      <c r="Q48" s="38" t="n">
        <v>0</v>
      </c>
      <c r="R48" s="38">
        <f>SUM(M48:Q48)</f>
        <v/>
      </c>
      <c r="S48" s="38" t="inlineStr">
        <is>
          <t>未开始</t>
        </is>
      </c>
      <c r="T48" s="38" t="n">
        <v>0</v>
      </c>
      <c r="U48" s="40" t="inlineStr">
        <is>
          <t>按配置自动生成抽取/转换任务</t>
        </is>
      </c>
    </row>
    <row r="49" ht="56" customHeight="1">
      <c r="A49" s="59" t="inlineStr">
        <is>
          <t>ADMIN</t>
        </is>
      </c>
      <c r="B49" s="40" t="inlineStr">
        <is>
          <t>归档配置</t>
        </is>
      </c>
      <c r="C49" s="38" t="inlineStr">
        <is>
          <t>11</t>
        </is>
      </c>
      <c r="D49" s="38" t="inlineStr">
        <is>
          <t>1.11.5</t>
        </is>
      </c>
      <c r="E49" s="38" t="inlineStr">
        <is>
          <t>管理员</t>
        </is>
      </c>
      <c r="F49" s="41" t="inlineStr">
        <is>
          <t>P0</t>
        </is>
      </c>
      <c r="G49" s="40" t="inlineStr">
        <is>
          <t>Phase1 · 当前范围</t>
        </is>
      </c>
      <c r="H49" s="40" t="inlineStr">
        <is>
          <t>生成 ETL 配置</t>
        </is>
      </c>
      <c r="I49" s="40" t="inlineStr">
        <is>
          <t>保存 ETL 配置</t>
        </is>
      </c>
      <c r="J49" s="40" t="inlineStr">
        <is>
          <t>形成可执行的归档配置版本</t>
        </is>
      </c>
      <c r="K49" s="40" t="inlineStr">
        <is>
          <t>校验 ETL 配置</t>
        </is>
      </c>
      <c r="L49" s="40" t="inlineStr">
        <is>
          <t>ArchiveConfigService</t>
        </is>
      </c>
      <c r="M49" s="38" t="n">
        <v>1</v>
      </c>
      <c r="N49" s="38" t="n">
        <v>3</v>
      </c>
      <c r="O49" s="38" t="n">
        <v>1</v>
      </c>
      <c r="P49" s="38" t="n">
        <v>0</v>
      </c>
      <c r="Q49" s="38" t="n">
        <v>0</v>
      </c>
      <c r="R49" s="38">
        <f>SUM(M49:Q49)</f>
        <v/>
      </c>
      <c r="S49" s="38" t="inlineStr">
        <is>
          <t>未开始</t>
        </is>
      </c>
      <c r="T49" s="38" t="n">
        <v>0</v>
      </c>
      <c r="U49" s="40" t="inlineStr">
        <is>
          <t>按配置自动生成抽取/转换任务</t>
        </is>
      </c>
    </row>
    <row r="50" ht="56" customHeight="1">
      <c r="A50" s="59" t="inlineStr">
        <is>
          <t>ADMIN</t>
        </is>
      </c>
      <c r="B50" s="40" t="inlineStr">
        <is>
          <t>归档执行</t>
        </is>
      </c>
      <c r="C50" s="38" t="inlineStr">
        <is>
          <t>12</t>
        </is>
      </c>
      <c r="D50" s="38" t="inlineStr">
        <is>
          <t>1.12.1</t>
        </is>
      </c>
      <c r="E50" s="38" t="inlineStr">
        <is>
          <t>管理员</t>
        </is>
      </c>
      <c r="F50" s="41" t="inlineStr">
        <is>
          <t>P0</t>
        </is>
      </c>
      <c r="G50" s="40" t="inlineStr">
        <is>
          <t>Phase1 · 当前范围</t>
        </is>
      </c>
      <c r="H50" s="40" t="inlineStr">
        <is>
          <t>编写执行归档通用脚本</t>
        </is>
      </c>
      <c r="I50" s="40" t="inlineStr">
        <is>
          <t>选择归档配置版本</t>
        </is>
      </c>
      <c r="J50" s="40" t="inlineStr">
        <is>
          <t>加载已保存 ETL 配置</t>
        </is>
      </c>
      <c r="K50" s="40" t="inlineStr">
        <is>
          <t>生成 ETL 配置</t>
        </is>
      </c>
      <c r="L50" s="40" t="inlineStr">
        <is>
          <t>ArchiveExecutionService（归档执行服务）</t>
        </is>
      </c>
      <c r="M50" s="38" t="n">
        <v>1</v>
      </c>
      <c r="N50" s="38" t="n">
        <v>0</v>
      </c>
      <c r="O50" s="38" t="n">
        <v>0</v>
      </c>
      <c r="P50" s="38" t="n">
        <v>8</v>
      </c>
      <c r="Q50" s="38" t="n">
        <v>6</v>
      </c>
      <c r="R50" s="38">
        <f>SUM(M50:Q50)</f>
        <v/>
      </c>
      <c r="S50" s="38" t="inlineStr">
        <is>
          <t>未开始</t>
        </is>
      </c>
      <c r="T50" s="38" t="n">
        <v>0</v>
      </c>
      <c r="U50" s="40" t="inlineStr">
        <is>
          <t>根据配置生成执行脚本，Databricks 同步数据</t>
        </is>
      </c>
    </row>
    <row r="51" ht="56" customHeight="1">
      <c r="A51" s="59" t="inlineStr">
        <is>
          <t>ADMIN</t>
        </is>
      </c>
      <c r="B51" s="40" t="inlineStr">
        <is>
          <t>归档执行</t>
        </is>
      </c>
      <c r="C51" s="38" t="inlineStr">
        <is>
          <t>12</t>
        </is>
      </c>
      <c r="D51" s="38" t="inlineStr">
        <is>
          <t>1.12.2</t>
        </is>
      </c>
      <c r="E51" s="38" t="inlineStr">
        <is>
          <t>管理员</t>
        </is>
      </c>
      <c r="F51" s="41" t="inlineStr">
        <is>
          <t>P0</t>
        </is>
      </c>
      <c r="G51" s="40" t="inlineStr">
        <is>
          <t>Phase1 · 当前范围</t>
        </is>
      </c>
      <c r="H51" s="40" t="inlineStr">
        <is>
          <t>编写执行归档通用脚本</t>
        </is>
      </c>
      <c r="I51" s="40" t="inlineStr">
        <is>
          <t>生成执行脚本</t>
        </is>
      </c>
      <c r="J51" s="40" t="inlineStr">
        <is>
          <t>根据配置生成 Databricks 执行脚本</t>
        </is>
      </c>
      <c r="K51" s="40" t="inlineStr">
        <is>
          <t>选择归档配置版本</t>
        </is>
      </c>
      <c r="L51" s="40" t="inlineStr">
        <is>
          <t>ArchiveExecutionService（归档执行服务）</t>
        </is>
      </c>
      <c r="M51" s="38" t="n">
        <v>1</v>
      </c>
      <c r="N51" s="38" t="n">
        <v>0</v>
      </c>
      <c r="O51" s="38" t="n">
        <v>0</v>
      </c>
      <c r="P51" s="38" t="n">
        <v>8</v>
      </c>
      <c r="Q51" s="38" t="n">
        <v>6</v>
      </c>
      <c r="R51" s="38">
        <f>SUM(M51:Q51)</f>
        <v/>
      </c>
      <c r="S51" s="38" t="inlineStr">
        <is>
          <t>未开始</t>
        </is>
      </c>
      <c r="T51" s="38" t="n">
        <v>0</v>
      </c>
      <c r="U51" s="40" t="inlineStr">
        <is>
          <t>根据配置生成执行脚本，Databricks 同步数据</t>
        </is>
      </c>
    </row>
    <row r="52" ht="56" customHeight="1">
      <c r="A52" s="59" t="inlineStr">
        <is>
          <t>ADMIN</t>
        </is>
      </c>
      <c r="B52" s="40" t="inlineStr">
        <is>
          <t>归档执行</t>
        </is>
      </c>
      <c r="C52" s="38" t="inlineStr">
        <is>
          <t>12</t>
        </is>
      </c>
      <c r="D52" s="38" t="inlineStr">
        <is>
          <t>1.12.3</t>
        </is>
      </c>
      <c r="E52" s="38" t="inlineStr">
        <is>
          <t>管理员</t>
        </is>
      </c>
      <c r="F52" s="41" t="inlineStr">
        <is>
          <t>P0</t>
        </is>
      </c>
      <c r="G52" s="40" t="inlineStr">
        <is>
          <t>Phase1 · 当前范围</t>
        </is>
      </c>
      <c r="H52" s="40" t="inlineStr">
        <is>
          <t>编写执行归档通用脚本</t>
        </is>
      </c>
      <c r="I52" s="40" t="inlineStr">
        <is>
          <t>设置执行参数</t>
        </is>
      </c>
      <c r="J52" s="40" t="inlineStr">
        <is>
          <t>配置批次、并发和运行参数</t>
        </is>
      </c>
      <c r="K52" s="40" t="inlineStr">
        <is>
          <t>生成执行脚本</t>
        </is>
      </c>
      <c r="L52" s="40" t="inlineStr">
        <is>
          <t>ArchiveExecutionService（归档执行服务）</t>
        </is>
      </c>
      <c r="M52" s="38" t="n">
        <v>1</v>
      </c>
      <c r="N52" s="38" t="n">
        <v>0</v>
      </c>
      <c r="O52" s="38" t="n">
        <v>0</v>
      </c>
      <c r="P52" s="38" t="n">
        <v>8</v>
      </c>
      <c r="Q52" s="38" t="n">
        <v>6</v>
      </c>
      <c r="R52" s="38">
        <f>SUM(M52:Q52)</f>
        <v/>
      </c>
      <c r="S52" s="38" t="inlineStr">
        <is>
          <t>未开始</t>
        </is>
      </c>
      <c r="T52" s="38" t="n">
        <v>0</v>
      </c>
      <c r="U52" s="40" t="inlineStr">
        <is>
          <t>根据配置生成执行脚本，Databricks 同步数据</t>
        </is>
      </c>
    </row>
    <row r="53" ht="56" customHeight="1">
      <c r="A53" s="59" t="inlineStr">
        <is>
          <t>ADMIN</t>
        </is>
      </c>
      <c r="B53" s="40" t="inlineStr">
        <is>
          <t>归档执行</t>
        </is>
      </c>
      <c r="C53" s="38" t="inlineStr">
        <is>
          <t>12</t>
        </is>
      </c>
      <c r="D53" s="38" t="inlineStr">
        <is>
          <t>1.12.4</t>
        </is>
      </c>
      <c r="E53" s="38" t="inlineStr">
        <is>
          <t>管理员</t>
        </is>
      </c>
      <c r="F53" s="41" t="inlineStr">
        <is>
          <t>P0</t>
        </is>
      </c>
      <c r="G53" s="40" t="inlineStr">
        <is>
          <t>Phase1 · 当前范围</t>
        </is>
      </c>
      <c r="H53" s="40" t="inlineStr">
        <is>
          <t>编写执行归档通用脚本</t>
        </is>
      </c>
      <c r="I53" s="40" t="inlineStr">
        <is>
          <t>保存执行任务</t>
        </is>
      </c>
      <c r="J53" s="40" t="inlineStr">
        <is>
          <t>生成待执行归档任务</t>
        </is>
      </c>
      <c r="K53" s="40" t="inlineStr">
        <is>
          <t>设置执行参数</t>
        </is>
      </c>
      <c r="L53" s="40" t="inlineStr">
        <is>
          <t>ArchiveExecutionService（归档执行服务）</t>
        </is>
      </c>
      <c r="M53" s="38" t="n">
        <v>1</v>
      </c>
      <c r="N53" s="38" t="n">
        <v>0</v>
      </c>
      <c r="O53" s="38" t="n">
        <v>0</v>
      </c>
      <c r="P53" s="38" t="n">
        <v>8</v>
      </c>
      <c r="Q53" s="38" t="n">
        <v>6</v>
      </c>
      <c r="R53" s="38">
        <f>SUM(M53:Q53)</f>
        <v/>
      </c>
      <c r="S53" s="38" t="inlineStr">
        <is>
          <t>未开始</t>
        </is>
      </c>
      <c r="T53" s="38" t="n">
        <v>0</v>
      </c>
      <c r="U53" s="40" t="inlineStr">
        <is>
          <t>根据配置生成执行脚本，Databricks 同步数据</t>
        </is>
      </c>
    </row>
    <row r="54" ht="56" customHeight="1">
      <c r="A54" s="59" t="inlineStr">
        <is>
          <t>ADMIN</t>
        </is>
      </c>
      <c r="B54" s="40" t="inlineStr">
        <is>
          <t>归档执行</t>
        </is>
      </c>
      <c r="C54" s="38" t="inlineStr">
        <is>
          <t>13</t>
        </is>
      </c>
      <c r="D54" s="38" t="inlineStr">
        <is>
          <t>1.13.1</t>
        </is>
      </c>
      <c r="E54" s="38" t="inlineStr">
        <is>
          <t>管理员</t>
        </is>
      </c>
      <c r="F54" s="41" t="inlineStr">
        <is>
          <t>P0</t>
        </is>
      </c>
      <c r="G54" s="40" t="inlineStr">
        <is>
          <t>Phase1 · 当前范围</t>
        </is>
      </c>
      <c r="H54" s="40" t="inlineStr">
        <is>
          <t>执行 CC 系统的归档</t>
        </is>
      </c>
      <c r="I54" s="40" t="inlineStr">
        <is>
          <t>选择 CC 系统归档批次</t>
        </is>
      </c>
      <c r="J54" s="40" t="inlineStr">
        <is>
          <t>展示待执行配置和数据范围</t>
        </is>
      </c>
      <c r="K54" s="40" t="inlineStr">
        <is>
          <t>保存执行任务</t>
        </is>
      </c>
      <c r="L54" s="40" t="inlineStr">
        <is>
          <t>ArchiveExecutionService</t>
        </is>
      </c>
      <c r="M54" s="38" t="n">
        <v>0</v>
      </c>
      <c r="N54" s="38" t="n">
        <v>0</v>
      </c>
      <c r="O54" s="38" t="n">
        <v>0</v>
      </c>
      <c r="P54" s="38" t="n">
        <v>5</v>
      </c>
      <c r="Q54" s="38" t="n">
        <v>0</v>
      </c>
      <c r="R54" s="38">
        <f>SUM(M54:Q54)</f>
        <v/>
      </c>
      <c r="S54" s="38" t="inlineStr">
        <is>
          <t>未开始</t>
        </is>
      </c>
      <c r="T54" s="38" t="n">
        <v>0</v>
      </c>
      <c r="U54" s="40" t="inlineStr">
        <is>
          <t>测试迁移系统：Caring Center</t>
        </is>
      </c>
    </row>
    <row r="55" ht="56" customHeight="1">
      <c r="A55" s="59" t="inlineStr">
        <is>
          <t>ADMIN</t>
        </is>
      </c>
      <c r="B55" s="40" t="inlineStr">
        <is>
          <t>归档执行</t>
        </is>
      </c>
      <c r="C55" s="38" t="inlineStr">
        <is>
          <t>13</t>
        </is>
      </c>
      <c r="D55" s="38" t="inlineStr">
        <is>
          <t>1.13.2</t>
        </is>
      </c>
      <c r="E55" s="38" t="inlineStr">
        <is>
          <t>管理员</t>
        </is>
      </c>
      <c r="F55" s="41" t="inlineStr">
        <is>
          <t>P0</t>
        </is>
      </c>
      <c r="G55" s="40" t="inlineStr">
        <is>
          <t>Phase1 · 当前范围</t>
        </is>
      </c>
      <c r="H55" s="40" t="inlineStr">
        <is>
          <t>执行 CC 系统的归档</t>
        </is>
      </c>
      <c r="I55" s="40" t="inlineStr">
        <is>
          <t>提交归档任务</t>
        </is>
      </c>
      <c r="J55" s="40" t="inlineStr">
        <is>
          <t>提交 Databricks Job 并生成批次号</t>
        </is>
      </c>
      <c r="K55" s="40" t="inlineStr">
        <is>
          <t>选择 CC 系统归档批次</t>
        </is>
      </c>
      <c r="L55" s="40" t="inlineStr">
        <is>
          <t>ArchiveExecutionService</t>
        </is>
      </c>
      <c r="M55" s="38" t="n">
        <v>0</v>
      </c>
      <c r="N55" s="38" t="n">
        <v>0</v>
      </c>
      <c r="O55" s="38" t="n">
        <v>0</v>
      </c>
      <c r="P55" s="38" t="n">
        <v>5</v>
      </c>
      <c r="Q55" s="38" t="n">
        <v>0</v>
      </c>
      <c r="R55" s="38">
        <f>SUM(M55:Q55)</f>
        <v/>
      </c>
      <c r="S55" s="38" t="inlineStr">
        <is>
          <t>未开始</t>
        </is>
      </c>
      <c r="T55" s="38" t="n">
        <v>0</v>
      </c>
      <c r="U55" s="40" t="inlineStr">
        <is>
          <t>测试迁移系统：Caring Center</t>
        </is>
      </c>
    </row>
    <row r="56" ht="56" customHeight="1">
      <c r="A56" s="59" t="inlineStr">
        <is>
          <t>ADMIN</t>
        </is>
      </c>
      <c r="B56" s="40" t="inlineStr">
        <is>
          <t>归档执行</t>
        </is>
      </c>
      <c r="C56" s="38" t="inlineStr">
        <is>
          <t>13</t>
        </is>
      </c>
      <c r="D56" s="38" t="inlineStr">
        <is>
          <t>1.13.3</t>
        </is>
      </c>
      <c r="E56" s="38" t="inlineStr">
        <is>
          <t>管理员</t>
        </is>
      </c>
      <c r="F56" s="41" t="inlineStr">
        <is>
          <t>P0</t>
        </is>
      </c>
      <c r="G56" s="40" t="inlineStr">
        <is>
          <t>Phase1 · 当前范围</t>
        </is>
      </c>
      <c r="H56" s="40" t="inlineStr">
        <is>
          <t>执行 CC 系统的归档</t>
        </is>
      </c>
      <c r="I56" s="40" t="inlineStr">
        <is>
          <t>监控归档进度</t>
        </is>
      </c>
      <c r="J56" s="40" t="inlineStr">
        <is>
          <t>展示任务状态、进度及运行日志</t>
        </is>
      </c>
      <c r="K56" s="40" t="inlineStr">
        <is>
          <t>提交归档任务</t>
        </is>
      </c>
      <c r="L56" s="40" t="inlineStr">
        <is>
          <t>ArchiveExecutionService</t>
        </is>
      </c>
      <c r="M56" s="38" t="n">
        <v>0</v>
      </c>
      <c r="N56" s="38" t="n">
        <v>0</v>
      </c>
      <c r="O56" s="38" t="n">
        <v>0</v>
      </c>
      <c r="P56" s="38" t="n">
        <v>5</v>
      </c>
      <c r="Q56" s="38" t="n">
        <v>0</v>
      </c>
      <c r="R56" s="38">
        <f>SUM(M56:Q56)</f>
        <v/>
      </c>
      <c r="S56" s="38" t="inlineStr">
        <is>
          <t>未开始</t>
        </is>
      </c>
      <c r="T56" s="38" t="n">
        <v>0</v>
      </c>
      <c r="U56" s="40" t="inlineStr">
        <is>
          <t>测试迁移系统：Caring Center</t>
        </is>
      </c>
    </row>
    <row r="57" ht="56" customHeight="1">
      <c r="A57" s="59" t="inlineStr">
        <is>
          <t>ADMIN</t>
        </is>
      </c>
      <c r="B57" s="40" t="inlineStr">
        <is>
          <t>归档执行</t>
        </is>
      </c>
      <c r="C57" s="38" t="inlineStr">
        <is>
          <t>13</t>
        </is>
      </c>
      <c r="D57" s="38" t="inlineStr">
        <is>
          <t>1.13.4</t>
        </is>
      </c>
      <c r="E57" s="38" t="inlineStr">
        <is>
          <t>管理员</t>
        </is>
      </c>
      <c r="F57" s="41" t="inlineStr">
        <is>
          <t>P0</t>
        </is>
      </c>
      <c r="G57" s="40" t="inlineStr">
        <is>
          <t>Phase1 · 当前范围</t>
        </is>
      </c>
      <c r="H57" s="40" t="inlineStr">
        <is>
          <t>执行 CC 系统的归档</t>
        </is>
      </c>
      <c r="I57" s="40" t="inlineStr">
        <is>
          <t>完成结构化归档</t>
        </is>
      </c>
      <c r="J57" s="40" t="inlineStr">
        <is>
          <t>写入归档数据并更新批次结果</t>
        </is>
      </c>
      <c r="K57" s="40" t="inlineStr">
        <is>
          <t>监控归档进度</t>
        </is>
      </c>
      <c r="L57" s="40" t="inlineStr">
        <is>
          <t>ArchiveExecutionService</t>
        </is>
      </c>
      <c r="M57" s="38" t="n">
        <v>0</v>
      </c>
      <c r="N57" s="38" t="n">
        <v>0</v>
      </c>
      <c r="O57" s="38" t="n">
        <v>0</v>
      </c>
      <c r="P57" s="38" t="n">
        <v>5</v>
      </c>
      <c r="Q57" s="38" t="n">
        <v>0</v>
      </c>
      <c r="R57" s="38">
        <f>SUM(M57:Q57)</f>
        <v/>
      </c>
      <c r="S57" s="38" t="inlineStr">
        <is>
          <t>未开始</t>
        </is>
      </c>
      <c r="T57" s="38" t="n">
        <v>0</v>
      </c>
      <c r="U57" s="40" t="inlineStr">
        <is>
          <t>测试迁移系统：Caring Center</t>
        </is>
      </c>
    </row>
    <row r="58" ht="56" customHeight="1">
      <c r="A58" s="59" t="inlineStr">
        <is>
          <t>ADMIN</t>
        </is>
      </c>
      <c r="B58" s="40" t="inlineStr">
        <is>
          <t>归档执行</t>
        </is>
      </c>
      <c r="C58" s="38" t="inlineStr">
        <is>
          <t>14</t>
        </is>
      </c>
      <c r="D58" s="38" t="inlineStr">
        <is>
          <t>1.14.1</t>
        </is>
      </c>
      <c r="E58" s="38" t="inlineStr">
        <is>
          <t>管理员</t>
        </is>
      </c>
      <c r="F58" s="41" t="inlineStr">
        <is>
          <t>P0</t>
        </is>
      </c>
      <c r="G58" s="40" t="inlineStr">
        <is>
          <t>Phase1 · 当前范围</t>
        </is>
      </c>
      <c r="H58" s="40" t="inlineStr">
        <is>
          <t>归档批次管理（UI）</t>
        </is>
      </c>
      <c r="I58" s="40" t="inlineStr">
        <is>
          <t>打开批次管理</t>
        </is>
      </c>
      <c r="J58" s="40" t="inlineStr">
        <is>
          <t>展示批次列表及状态筛选</t>
        </is>
      </c>
      <c r="K58" s="40" t="inlineStr">
        <is>
          <t>执行 CC 系统的归档</t>
        </is>
      </c>
      <c r="L58" s="40" t="inlineStr">
        <is>
          <t>ArchiveExecutionService</t>
        </is>
      </c>
      <c r="M58" s="38" t="n">
        <v>0</v>
      </c>
      <c r="N58" s="38" t="n">
        <v>0.5</v>
      </c>
      <c r="O58" s="38" t="n">
        <v>2</v>
      </c>
      <c r="P58" s="38" t="n">
        <v>0</v>
      </c>
      <c r="Q58" s="38" t="n">
        <v>0</v>
      </c>
      <c r="R58" s="38">
        <f>SUM(M58:Q58)</f>
        <v/>
      </c>
      <c r="S58" s="38" t="inlineStr">
        <is>
          <t>未开始</t>
        </is>
      </c>
      <c r="T58" s="38" t="n">
        <v>0</v>
      </c>
      <c r="U58" s="40" t="n"/>
    </row>
    <row r="59" ht="56" customHeight="1">
      <c r="A59" s="59" t="inlineStr">
        <is>
          <t>ADMIN</t>
        </is>
      </c>
      <c r="B59" s="40" t="inlineStr">
        <is>
          <t>归档执行</t>
        </is>
      </c>
      <c r="C59" s="38" t="inlineStr">
        <is>
          <t>14</t>
        </is>
      </c>
      <c r="D59" s="38" t="inlineStr">
        <is>
          <t>1.14.2</t>
        </is>
      </c>
      <c r="E59" s="38" t="inlineStr">
        <is>
          <t>管理员</t>
        </is>
      </c>
      <c r="F59" s="41" t="inlineStr">
        <is>
          <t>P0</t>
        </is>
      </c>
      <c r="G59" s="40" t="inlineStr">
        <is>
          <t>Phase1 · 当前范围</t>
        </is>
      </c>
      <c r="H59" s="40" t="inlineStr">
        <is>
          <t>归档批次管理（UI）</t>
        </is>
      </c>
      <c r="I59" s="40" t="inlineStr">
        <is>
          <t>查看批次详情</t>
        </is>
      </c>
      <c r="J59" s="40" t="inlineStr">
        <is>
          <t>展示批次范围、时间和执行信息</t>
        </is>
      </c>
      <c r="K59" s="40" t="inlineStr">
        <is>
          <t>打开批次管理</t>
        </is>
      </c>
      <c r="L59" s="40" t="inlineStr">
        <is>
          <t>ArchiveExecutionService</t>
        </is>
      </c>
      <c r="M59" s="38" t="n">
        <v>0</v>
      </c>
      <c r="N59" s="38" t="n">
        <v>0.5</v>
      </c>
      <c r="O59" s="38" t="n">
        <v>2</v>
      </c>
      <c r="P59" s="38" t="n">
        <v>0</v>
      </c>
      <c r="Q59" s="38" t="n">
        <v>0</v>
      </c>
      <c r="R59" s="38">
        <f>SUM(M59:Q59)</f>
        <v/>
      </c>
      <c r="S59" s="38" t="inlineStr">
        <is>
          <t>未开始</t>
        </is>
      </c>
      <c r="T59" s="38" t="n">
        <v>0</v>
      </c>
      <c r="U59" s="40" t="n"/>
    </row>
    <row r="60" ht="56" customHeight="1">
      <c r="A60" s="59" t="inlineStr">
        <is>
          <t>ADMIN</t>
        </is>
      </c>
      <c r="B60" s="40" t="inlineStr">
        <is>
          <t>归档执行</t>
        </is>
      </c>
      <c r="C60" s="38" t="inlineStr">
        <is>
          <t>14</t>
        </is>
      </c>
      <c r="D60" s="38" t="inlineStr">
        <is>
          <t>1.14.3</t>
        </is>
      </c>
      <c r="E60" s="38" t="inlineStr">
        <is>
          <t>管理员</t>
        </is>
      </c>
      <c r="F60" s="41" t="inlineStr">
        <is>
          <t>P0</t>
        </is>
      </c>
      <c r="G60" s="40" t="inlineStr">
        <is>
          <t>Phase1 · 当前范围</t>
        </is>
      </c>
      <c r="H60" s="40" t="inlineStr">
        <is>
          <t>归档批次管理（UI）</t>
        </is>
      </c>
      <c r="I60" s="40" t="inlineStr">
        <is>
          <t>关闭归档批次</t>
        </is>
      </c>
      <c r="J60" s="40" t="inlineStr">
        <is>
          <t>关闭已完成批次并限制重复操作</t>
        </is>
      </c>
      <c r="K60" s="40" t="inlineStr">
        <is>
          <t>查看批次详情</t>
        </is>
      </c>
      <c r="L60" s="40" t="inlineStr">
        <is>
          <t>ArchiveExecutionService</t>
        </is>
      </c>
      <c r="M60" s="38" t="n">
        <v>0</v>
      </c>
      <c r="N60" s="38" t="n">
        <v>0.5</v>
      </c>
      <c r="O60" s="38" t="n">
        <v>2</v>
      </c>
      <c r="P60" s="38" t="n">
        <v>0</v>
      </c>
      <c r="Q60" s="38" t="n">
        <v>0</v>
      </c>
      <c r="R60" s="38">
        <f>SUM(M60:Q60)</f>
        <v/>
      </c>
      <c r="S60" s="38" t="inlineStr">
        <is>
          <t>未开始</t>
        </is>
      </c>
      <c r="T60" s="38" t="n">
        <v>0</v>
      </c>
      <c r="U60" s="40" t="n"/>
    </row>
    <row r="61" ht="56" customHeight="1">
      <c r="A61" s="59" t="inlineStr">
        <is>
          <t>ADMIN</t>
        </is>
      </c>
      <c r="B61" s="40" t="inlineStr">
        <is>
          <t>归档执行</t>
        </is>
      </c>
      <c r="C61" s="38" t="inlineStr">
        <is>
          <t>14</t>
        </is>
      </c>
      <c r="D61" s="38" t="inlineStr">
        <is>
          <t>1.14.4</t>
        </is>
      </c>
      <c r="E61" s="38" t="inlineStr">
        <is>
          <t>管理员</t>
        </is>
      </c>
      <c r="F61" s="41" t="inlineStr">
        <is>
          <t>P0</t>
        </is>
      </c>
      <c r="G61" s="40" t="inlineStr">
        <is>
          <t>Phase1 · 当前范围</t>
        </is>
      </c>
      <c r="H61" s="40" t="inlineStr">
        <is>
          <t>归档批次管理（UI）</t>
        </is>
      </c>
      <c r="I61" s="40" t="inlineStr">
        <is>
          <t>重新打开归档批次</t>
        </is>
      </c>
      <c r="J61" s="40" t="inlineStr">
        <is>
          <t>按权限重新开放批次操作</t>
        </is>
      </c>
      <c r="K61" s="40" t="inlineStr">
        <is>
          <t>查看批次详情</t>
        </is>
      </c>
      <c r="L61" s="40" t="inlineStr">
        <is>
          <t>ArchiveExecutionService</t>
        </is>
      </c>
      <c r="M61" s="38" t="n">
        <v>0</v>
      </c>
      <c r="N61" s="38" t="n">
        <v>0.5</v>
      </c>
      <c r="O61" s="38" t="n">
        <v>2</v>
      </c>
      <c r="P61" s="38" t="n">
        <v>0</v>
      </c>
      <c r="Q61" s="38" t="n">
        <v>0</v>
      </c>
      <c r="R61" s="38">
        <f>SUM(M61:Q61)</f>
        <v/>
      </c>
      <c r="S61" s="38" t="inlineStr">
        <is>
          <t>未开始</t>
        </is>
      </c>
      <c r="T61" s="38" t="n">
        <v>0</v>
      </c>
      <c r="U61" s="40" t="n"/>
    </row>
    <row r="62" ht="56" customHeight="1">
      <c r="A62" s="59" t="inlineStr">
        <is>
          <t>ADMIN</t>
        </is>
      </c>
      <c r="B62" s="40" t="inlineStr">
        <is>
          <t>归档执行</t>
        </is>
      </c>
      <c r="C62" s="38" t="inlineStr">
        <is>
          <t>15</t>
        </is>
      </c>
      <c r="D62" s="38" t="inlineStr">
        <is>
          <t>1.15.1</t>
        </is>
      </c>
      <c r="E62" s="38" t="inlineStr">
        <is>
          <t>管理员</t>
        </is>
      </c>
      <c r="F62" s="41" t="inlineStr">
        <is>
          <t>P0</t>
        </is>
      </c>
      <c r="G62" s="40" t="inlineStr">
        <is>
          <t>Phase1 · 当前范围</t>
        </is>
      </c>
      <c r="H62" s="40" t="inlineStr">
        <is>
          <t>查看归档结果</t>
        </is>
      </c>
      <c r="I62" s="40" t="inlineStr">
        <is>
          <t>打开归档结果</t>
        </is>
      </c>
      <c r="J62" s="40" t="inlineStr">
        <is>
          <t>展示批次结果概览</t>
        </is>
      </c>
      <c r="K62" s="40" t="inlineStr">
        <is>
          <t>执行 CC 系统的归档</t>
        </is>
      </c>
      <c r="L62" s="40" t="inlineStr">
        <is>
          <t>ArchiveExecutionService</t>
        </is>
      </c>
      <c r="M62" s="38" t="n">
        <v>0</v>
      </c>
      <c r="N62" s="38" t="n">
        <v>0.5</v>
      </c>
      <c r="O62" s="38" t="n">
        <v>0.5</v>
      </c>
      <c r="P62" s="38" t="n">
        <v>0</v>
      </c>
      <c r="Q62" s="38" t="n">
        <v>0</v>
      </c>
      <c r="R62" s="38">
        <f>SUM(M62:Q62)</f>
        <v/>
      </c>
      <c r="S62" s="38" t="inlineStr">
        <is>
          <t>未开始</t>
        </is>
      </c>
      <c r="T62" s="38" t="n">
        <v>0</v>
      </c>
      <c r="U62" s="40" t="n"/>
    </row>
    <row r="63" ht="56" customHeight="1">
      <c r="A63" s="59" t="inlineStr">
        <is>
          <t>ADMIN</t>
        </is>
      </c>
      <c r="B63" s="40" t="inlineStr">
        <is>
          <t>归档执行</t>
        </is>
      </c>
      <c r="C63" s="38" t="inlineStr">
        <is>
          <t>15</t>
        </is>
      </c>
      <c r="D63" s="38" t="inlineStr">
        <is>
          <t>1.15.2</t>
        </is>
      </c>
      <c r="E63" s="38" t="inlineStr">
        <is>
          <t>管理员</t>
        </is>
      </c>
      <c r="F63" s="41" t="inlineStr">
        <is>
          <t>P0</t>
        </is>
      </c>
      <c r="G63" s="40" t="inlineStr">
        <is>
          <t>Phase1 · 当前范围</t>
        </is>
      </c>
      <c r="H63" s="40" t="inlineStr">
        <is>
          <t>查看归档结果</t>
        </is>
      </c>
      <c r="I63" s="40" t="inlineStr">
        <is>
          <t>查看成功/失败统计</t>
        </is>
      </c>
      <c r="J63" s="40" t="inlineStr">
        <is>
          <t>展示成功、失败和跳过数量</t>
        </is>
      </c>
      <c r="K63" s="40" t="inlineStr">
        <is>
          <t>打开归档结果</t>
        </is>
      </c>
      <c r="L63" s="40" t="inlineStr">
        <is>
          <t>ArchiveExecutionService</t>
        </is>
      </c>
      <c r="M63" s="38" t="n">
        <v>0</v>
      </c>
      <c r="N63" s="38" t="n">
        <v>0.5</v>
      </c>
      <c r="O63" s="38" t="n">
        <v>0.5</v>
      </c>
      <c r="P63" s="38" t="n">
        <v>0</v>
      </c>
      <c r="Q63" s="38" t="n">
        <v>0</v>
      </c>
      <c r="R63" s="38">
        <f>SUM(M63:Q63)</f>
        <v/>
      </c>
      <c r="S63" s="38" t="inlineStr">
        <is>
          <t>未开始</t>
        </is>
      </c>
      <c r="T63" s="38" t="n">
        <v>0</v>
      </c>
      <c r="U63" s="40" t="n"/>
    </row>
    <row r="64" ht="56" customHeight="1">
      <c r="A64" s="59" t="inlineStr">
        <is>
          <t>ADMIN</t>
        </is>
      </c>
      <c r="B64" s="40" t="inlineStr">
        <is>
          <t>归档执行</t>
        </is>
      </c>
      <c r="C64" s="38" t="inlineStr">
        <is>
          <t>15</t>
        </is>
      </c>
      <c r="D64" s="38" t="inlineStr">
        <is>
          <t>1.15.3</t>
        </is>
      </c>
      <c r="E64" s="38" t="inlineStr">
        <is>
          <t>管理员</t>
        </is>
      </c>
      <c r="F64" s="41" t="inlineStr">
        <is>
          <t>P0</t>
        </is>
      </c>
      <c r="G64" s="40" t="inlineStr">
        <is>
          <t>Phase1 · 当前范围</t>
        </is>
      </c>
      <c r="H64" s="40" t="inlineStr">
        <is>
          <t>查看归档结果</t>
        </is>
      </c>
      <c r="I64" s="40" t="inlineStr">
        <is>
          <t>查看错误明细和日志</t>
        </is>
      </c>
      <c r="J64" s="40" t="inlineStr">
        <is>
          <t>展示错误原因、任务日志和处理建议</t>
        </is>
      </c>
      <c r="K64" s="40" t="inlineStr">
        <is>
          <t>查看成功/失败统计</t>
        </is>
      </c>
      <c r="L64" s="40" t="inlineStr">
        <is>
          <t>ArchiveExecutionService</t>
        </is>
      </c>
      <c r="M64" s="38" t="n">
        <v>0</v>
      </c>
      <c r="N64" s="38" t="n">
        <v>0.5</v>
      </c>
      <c r="O64" s="38" t="n">
        <v>0.5</v>
      </c>
      <c r="P64" s="38" t="n">
        <v>0</v>
      </c>
      <c r="Q64" s="38" t="n">
        <v>0</v>
      </c>
      <c r="R64" s="38">
        <f>SUM(M64:Q64)</f>
        <v/>
      </c>
      <c r="S64" s="38" t="inlineStr">
        <is>
          <t>未开始</t>
        </is>
      </c>
      <c r="T64" s="38" t="n">
        <v>0</v>
      </c>
      <c r="U64" s="40" t="n"/>
    </row>
    <row r="65" ht="56" customHeight="1">
      <c r="A65" s="59" t="inlineStr">
        <is>
          <t>ADMIN</t>
        </is>
      </c>
      <c r="B65" s="40" t="inlineStr">
        <is>
          <t>归档执行</t>
        </is>
      </c>
      <c r="C65" s="38" t="inlineStr">
        <is>
          <t>16</t>
        </is>
      </c>
      <c r="D65" s="38" t="inlineStr">
        <is>
          <t>1.16.1</t>
        </is>
      </c>
      <c r="E65" s="38" t="inlineStr">
        <is>
          <t>管理员</t>
        </is>
      </c>
      <c r="F65" s="41" t="inlineStr">
        <is>
          <t>P0</t>
        </is>
      </c>
      <c r="G65" s="40" t="inlineStr">
        <is>
          <t>Phase1 · 当前范围</t>
        </is>
      </c>
      <c r="H65" s="40" t="inlineStr">
        <is>
          <t>失败重试</t>
        </is>
      </c>
      <c r="I65" s="40" t="inlineStr">
        <is>
          <t>筛选失败任务</t>
        </is>
      </c>
      <c r="J65" s="40" t="inlineStr">
        <is>
          <t>展示可重试任务和失败原因</t>
        </is>
      </c>
      <c r="K65" s="40" t="inlineStr">
        <is>
          <t>查看错误明细和日志</t>
        </is>
      </c>
      <c r="L65" s="40" t="inlineStr">
        <is>
          <t>ArchiveExecutionService</t>
        </is>
      </c>
      <c r="M65" s="38" t="n">
        <v>0</v>
      </c>
      <c r="N65" s="38" t="n">
        <v>0.5</v>
      </c>
      <c r="O65" s="38" t="n">
        <v>0.5</v>
      </c>
      <c r="P65" s="38" t="n">
        <v>1</v>
      </c>
      <c r="Q65" s="38" t="n">
        <v>0</v>
      </c>
      <c r="R65" s="38">
        <f>SUM(M65:Q65)</f>
        <v/>
      </c>
      <c r="S65" s="38" t="inlineStr">
        <is>
          <t>未开始</t>
        </is>
      </c>
      <c r="T65" s="38" t="n">
        <v>0</v>
      </c>
      <c r="U65" s="40" t="inlineStr">
        <is>
          <t>断点续传/批次级重跑</t>
        </is>
      </c>
    </row>
    <row r="66" ht="56" customHeight="1">
      <c r="A66" s="59" t="inlineStr">
        <is>
          <t>ADMIN</t>
        </is>
      </c>
      <c r="B66" s="40" t="inlineStr">
        <is>
          <t>归档执行</t>
        </is>
      </c>
      <c r="C66" s="38" t="inlineStr">
        <is>
          <t>16</t>
        </is>
      </c>
      <c r="D66" s="38" t="inlineStr">
        <is>
          <t>1.16.2</t>
        </is>
      </c>
      <c r="E66" s="38" t="inlineStr">
        <is>
          <t>管理员</t>
        </is>
      </c>
      <c r="F66" s="41" t="inlineStr">
        <is>
          <t>P0</t>
        </is>
      </c>
      <c r="G66" s="40" t="inlineStr">
        <is>
          <t>Phase1 · 当前范围</t>
        </is>
      </c>
      <c r="H66" s="40" t="inlineStr">
        <is>
          <t>失败重试</t>
        </is>
      </c>
      <c r="I66" s="40" t="inlineStr">
        <is>
          <t>选择重试范围</t>
        </is>
      </c>
      <c r="J66" s="40" t="inlineStr">
        <is>
          <t>选择失败任务或批次级重跑</t>
        </is>
      </c>
      <c r="K66" s="40" t="inlineStr">
        <is>
          <t>筛选失败任务</t>
        </is>
      </c>
      <c r="L66" s="40" t="inlineStr">
        <is>
          <t>ArchiveExecutionService</t>
        </is>
      </c>
      <c r="M66" s="38" t="n">
        <v>0</v>
      </c>
      <c r="N66" s="38" t="n">
        <v>0.5</v>
      </c>
      <c r="O66" s="38" t="n">
        <v>0.5</v>
      </c>
      <c r="P66" s="38" t="n">
        <v>1</v>
      </c>
      <c r="Q66" s="38" t="n">
        <v>0</v>
      </c>
      <c r="R66" s="38">
        <f>SUM(M66:Q66)</f>
        <v/>
      </c>
      <c r="S66" s="38" t="inlineStr">
        <is>
          <t>未开始</t>
        </is>
      </c>
      <c r="T66" s="38" t="n">
        <v>0</v>
      </c>
      <c r="U66" s="40" t="inlineStr">
        <is>
          <t>断点续传/批次级重跑</t>
        </is>
      </c>
    </row>
    <row r="67" ht="56" customHeight="1">
      <c r="A67" s="59" t="inlineStr">
        <is>
          <t>ADMIN</t>
        </is>
      </c>
      <c r="B67" s="40" t="inlineStr">
        <is>
          <t>归档执行</t>
        </is>
      </c>
      <c r="C67" s="38" t="inlineStr">
        <is>
          <t>16</t>
        </is>
      </c>
      <c r="D67" s="38" t="inlineStr">
        <is>
          <t>1.16.3</t>
        </is>
      </c>
      <c r="E67" s="38" t="inlineStr">
        <is>
          <t>管理员</t>
        </is>
      </c>
      <c r="F67" s="41" t="inlineStr">
        <is>
          <t>P0</t>
        </is>
      </c>
      <c r="G67" s="40" t="inlineStr">
        <is>
          <t>Phase1 · 当前范围</t>
        </is>
      </c>
      <c r="H67" s="40" t="inlineStr">
        <is>
          <t>失败重试</t>
        </is>
      </c>
      <c r="I67" s="40" t="inlineStr">
        <is>
          <t>发起失败重试</t>
        </is>
      </c>
      <c r="J67" s="40" t="inlineStr">
        <is>
          <t>按断点或批次重新提交任务</t>
        </is>
      </c>
      <c r="K67" s="40" t="inlineStr">
        <is>
          <t>选择重试范围</t>
        </is>
      </c>
      <c r="L67" s="40" t="inlineStr">
        <is>
          <t>ArchiveExecutionService</t>
        </is>
      </c>
      <c r="M67" s="38" t="n">
        <v>0</v>
      </c>
      <c r="N67" s="38" t="n">
        <v>0.5</v>
      </c>
      <c r="O67" s="38" t="n">
        <v>0.5</v>
      </c>
      <c r="P67" s="38" t="n">
        <v>1</v>
      </c>
      <c r="Q67" s="38" t="n">
        <v>0</v>
      </c>
      <c r="R67" s="38">
        <f>SUM(M67:Q67)</f>
        <v/>
      </c>
      <c r="S67" s="38" t="inlineStr">
        <is>
          <t>未开始</t>
        </is>
      </c>
      <c r="T67" s="38" t="n">
        <v>0</v>
      </c>
      <c r="U67" s="40" t="inlineStr">
        <is>
          <t>断点续传/批次级重跑</t>
        </is>
      </c>
    </row>
    <row r="68" ht="56" customHeight="1">
      <c r="A68" s="59" t="inlineStr">
        <is>
          <t>ADMIN</t>
        </is>
      </c>
      <c r="B68" s="40" t="inlineStr">
        <is>
          <t>归档执行</t>
        </is>
      </c>
      <c r="C68" s="38" t="inlineStr">
        <is>
          <t>16</t>
        </is>
      </c>
      <c r="D68" s="38" t="inlineStr">
        <is>
          <t>1.16.4</t>
        </is>
      </c>
      <c r="E68" s="38" t="inlineStr">
        <is>
          <t>管理员</t>
        </is>
      </c>
      <c r="F68" s="41" t="inlineStr">
        <is>
          <t>P0</t>
        </is>
      </c>
      <c r="G68" s="40" t="inlineStr">
        <is>
          <t>Phase1 · 当前范围</t>
        </is>
      </c>
      <c r="H68" s="40" t="inlineStr">
        <is>
          <t>失败重试</t>
        </is>
      </c>
      <c r="I68" s="40" t="inlineStr">
        <is>
          <t>查看重试结果</t>
        </is>
      </c>
      <c r="J68" s="40" t="inlineStr">
        <is>
          <t>更新重试状态并记录重试次数</t>
        </is>
      </c>
      <c r="K68" s="40" t="inlineStr">
        <is>
          <t>发起失败重试</t>
        </is>
      </c>
      <c r="L68" s="40" t="inlineStr">
        <is>
          <t>ArchiveExecutionService</t>
        </is>
      </c>
      <c r="M68" s="38" t="n">
        <v>0</v>
      </c>
      <c r="N68" s="38" t="n">
        <v>0.5</v>
      </c>
      <c r="O68" s="38" t="n">
        <v>0.5</v>
      </c>
      <c r="P68" s="38" t="n">
        <v>1</v>
      </c>
      <c r="Q68" s="38" t="n">
        <v>0</v>
      </c>
      <c r="R68" s="38">
        <f>SUM(M68:Q68)</f>
        <v/>
      </c>
      <c r="S68" s="38" t="inlineStr">
        <is>
          <t>未开始</t>
        </is>
      </c>
      <c r="T68" s="38" t="n">
        <v>0</v>
      </c>
      <c r="U68" s="40" t="inlineStr">
        <is>
          <t>断点续传/批次级重跑</t>
        </is>
      </c>
    </row>
    <row r="69" ht="56" customHeight="1">
      <c r="A69" s="59" t="inlineStr">
        <is>
          <t>ADMIN</t>
        </is>
      </c>
      <c r="B69" s="40" t="inlineStr">
        <is>
          <t>附件迁移</t>
        </is>
      </c>
      <c r="C69" s="38" t="inlineStr">
        <is>
          <t>17</t>
        </is>
      </c>
      <c r="D69" s="38" t="inlineStr">
        <is>
          <t>1.17.1</t>
        </is>
      </c>
      <c r="E69" s="38" t="inlineStr">
        <is>
          <t>管理员</t>
        </is>
      </c>
      <c r="F69" s="41" t="inlineStr">
        <is>
          <t>P0</t>
        </is>
      </c>
      <c r="G69" s="40" t="inlineStr">
        <is>
          <t>Phase1 · 当前范围</t>
        </is>
      </c>
      <c r="H69" s="40" t="inlineStr">
        <is>
          <t>配置源系统 Blob 信息、迁移目录、文件类型</t>
        </is>
      </c>
      <c r="I69" s="40" t="inlineStr">
        <is>
          <t>打开附件迁移配置</t>
        </is>
      </c>
      <c r="J69" s="40" t="inlineStr">
        <is>
          <t>展示 Blob、目录和文件类型配置项</t>
        </is>
      </c>
      <c r="K69" s="40" t="inlineStr">
        <is>
          <t>系统基础信息录入</t>
        </is>
      </c>
      <c r="L69" s="40" t="inlineStr">
        <is>
          <t>AttachmentMigrationService（附件迁移服务）</t>
        </is>
      </c>
      <c r="M69" s="38" t="n">
        <v>0.5</v>
      </c>
      <c r="N69" s="38" t="n">
        <v>1</v>
      </c>
      <c r="O69" s="38" t="n">
        <v>0.5</v>
      </c>
      <c r="P69" s="38" t="n">
        <v>0</v>
      </c>
      <c r="Q69" s="38" t="n">
        <v>0.5</v>
      </c>
      <c r="R69" s="38">
        <f>SUM(M69:Q69)</f>
        <v/>
      </c>
      <c r="S69" s="38" t="inlineStr">
        <is>
          <t>未开始</t>
        </is>
      </c>
      <c r="T69" s="38" t="n">
        <v>0</v>
      </c>
      <c r="U69" s="40" t="n"/>
    </row>
    <row r="70" ht="56" customHeight="1">
      <c r="A70" s="59" t="inlineStr">
        <is>
          <t>ADMIN</t>
        </is>
      </c>
      <c r="B70" s="40" t="inlineStr">
        <is>
          <t>附件迁移</t>
        </is>
      </c>
      <c r="C70" s="38" t="inlineStr">
        <is>
          <t>17</t>
        </is>
      </c>
      <c r="D70" s="38" t="inlineStr">
        <is>
          <t>1.17.2</t>
        </is>
      </c>
      <c r="E70" s="38" t="inlineStr">
        <is>
          <t>管理员</t>
        </is>
      </c>
      <c r="F70" s="41" t="inlineStr">
        <is>
          <t>P0</t>
        </is>
      </c>
      <c r="G70" s="40" t="inlineStr">
        <is>
          <t>Phase1 · 当前范围</t>
        </is>
      </c>
      <c r="H70" s="40" t="inlineStr">
        <is>
          <t>配置源系统 Blob 信息、迁移目录、文件类型</t>
        </is>
      </c>
      <c r="I70" s="40" t="inlineStr">
        <is>
          <t>配置 Blob 信息</t>
        </is>
      </c>
      <c r="J70" s="40" t="inlineStr">
        <is>
          <t>保存附件存储连接信息</t>
        </is>
      </c>
      <c r="K70" s="40" t="inlineStr">
        <is>
          <t>打开附件迁移配置</t>
        </is>
      </c>
      <c r="L70" s="40" t="inlineStr">
        <is>
          <t>AttachmentMigrationService（附件迁移服务）</t>
        </is>
      </c>
      <c r="M70" s="38" t="n">
        <v>0.5</v>
      </c>
      <c r="N70" s="38" t="n">
        <v>1</v>
      </c>
      <c r="O70" s="38" t="n">
        <v>0.5</v>
      </c>
      <c r="P70" s="38" t="n">
        <v>0</v>
      </c>
      <c r="Q70" s="38" t="n">
        <v>0.5</v>
      </c>
      <c r="R70" s="38">
        <f>SUM(M70:Q70)</f>
        <v/>
      </c>
      <c r="S70" s="38" t="inlineStr">
        <is>
          <t>未开始</t>
        </is>
      </c>
      <c r="T70" s="38" t="n">
        <v>0</v>
      </c>
      <c r="U70" s="40" t="n"/>
    </row>
    <row r="71" ht="56" customHeight="1">
      <c r="A71" s="59" t="inlineStr">
        <is>
          <t>ADMIN</t>
        </is>
      </c>
      <c r="B71" s="40" t="inlineStr">
        <is>
          <t>附件迁移</t>
        </is>
      </c>
      <c r="C71" s="38" t="inlineStr">
        <is>
          <t>17</t>
        </is>
      </c>
      <c r="D71" s="38" t="inlineStr">
        <is>
          <t>1.17.3</t>
        </is>
      </c>
      <c r="E71" s="38" t="inlineStr">
        <is>
          <t>管理员</t>
        </is>
      </c>
      <c r="F71" s="41" t="inlineStr">
        <is>
          <t>P0</t>
        </is>
      </c>
      <c r="G71" s="40" t="inlineStr">
        <is>
          <t>Phase1 · 当前范围</t>
        </is>
      </c>
      <c r="H71" s="40" t="inlineStr">
        <is>
          <t>配置源系统 Blob 信息、迁移目录、文件类型</t>
        </is>
      </c>
      <c r="I71" s="40" t="inlineStr">
        <is>
          <t>配置迁移目录</t>
        </is>
      </c>
      <c r="J71" s="40" t="inlineStr">
        <is>
          <t>保存源目录和目标目录映射</t>
        </is>
      </c>
      <c r="K71" s="40" t="inlineStr">
        <is>
          <t>配置 Blob 信息</t>
        </is>
      </c>
      <c r="L71" s="40" t="inlineStr">
        <is>
          <t>AttachmentMigrationService（附件迁移服务）</t>
        </is>
      </c>
      <c r="M71" s="38" t="n">
        <v>0.5</v>
      </c>
      <c r="N71" s="38" t="n">
        <v>1</v>
      </c>
      <c r="O71" s="38" t="n">
        <v>0.5</v>
      </c>
      <c r="P71" s="38" t="n">
        <v>0</v>
      </c>
      <c r="Q71" s="38" t="n">
        <v>0.5</v>
      </c>
      <c r="R71" s="38">
        <f>SUM(M71:Q71)</f>
        <v/>
      </c>
      <c r="S71" s="38" t="inlineStr">
        <is>
          <t>未开始</t>
        </is>
      </c>
      <c r="T71" s="38" t="n">
        <v>0</v>
      </c>
      <c r="U71" s="40" t="n"/>
    </row>
    <row r="72" ht="56" customHeight="1">
      <c r="A72" s="59" t="inlineStr">
        <is>
          <t>ADMIN</t>
        </is>
      </c>
      <c r="B72" s="40" t="inlineStr">
        <is>
          <t>附件迁移</t>
        </is>
      </c>
      <c r="C72" s="38" t="inlineStr">
        <is>
          <t>17</t>
        </is>
      </c>
      <c r="D72" s="38" t="inlineStr">
        <is>
          <t>1.17.4</t>
        </is>
      </c>
      <c r="E72" s="38" t="inlineStr">
        <is>
          <t>管理员</t>
        </is>
      </c>
      <c r="F72" s="41" t="inlineStr">
        <is>
          <t>P0</t>
        </is>
      </c>
      <c r="G72" s="40" t="inlineStr">
        <is>
          <t>Phase1 · 当前范围</t>
        </is>
      </c>
      <c r="H72" s="40" t="inlineStr">
        <is>
          <t>配置源系统 Blob 信息、迁移目录、文件类型</t>
        </is>
      </c>
      <c r="I72" s="40" t="inlineStr">
        <is>
          <t>配置文件类型</t>
        </is>
      </c>
      <c r="J72" s="40" t="inlineStr">
        <is>
          <t>保存需要迁移的附件类型</t>
        </is>
      </c>
      <c r="K72" s="40" t="inlineStr">
        <is>
          <t>配置迁移目录</t>
        </is>
      </c>
      <c r="L72" s="40" t="inlineStr">
        <is>
          <t>AttachmentMigrationService（附件迁移服务）</t>
        </is>
      </c>
      <c r="M72" s="38" t="n">
        <v>0.5</v>
      </c>
      <c r="N72" s="38" t="n">
        <v>1</v>
      </c>
      <c r="O72" s="38" t="n">
        <v>0.5</v>
      </c>
      <c r="P72" s="38" t="n">
        <v>0</v>
      </c>
      <c r="Q72" s="38" t="n">
        <v>0.5</v>
      </c>
      <c r="R72" s="38">
        <f>SUM(M72:Q72)</f>
        <v/>
      </c>
      <c r="S72" s="38" t="inlineStr">
        <is>
          <t>未开始</t>
        </is>
      </c>
      <c r="T72" s="38" t="n">
        <v>0</v>
      </c>
      <c r="U72" s="40" t="n"/>
    </row>
    <row r="73" ht="56" customHeight="1">
      <c r="A73" s="59" t="inlineStr">
        <is>
          <t>ADMIN</t>
        </is>
      </c>
      <c r="B73" s="40" t="inlineStr">
        <is>
          <t>附件迁移</t>
        </is>
      </c>
      <c r="C73" s="38" t="inlineStr">
        <is>
          <t>17</t>
        </is>
      </c>
      <c r="D73" s="38" t="inlineStr">
        <is>
          <t>1.17.5</t>
        </is>
      </c>
      <c r="E73" s="38" t="inlineStr">
        <is>
          <t>管理员</t>
        </is>
      </c>
      <c r="F73" s="41" t="inlineStr">
        <is>
          <t>P0</t>
        </is>
      </c>
      <c r="G73" s="40" t="inlineStr">
        <is>
          <t>Phase1 · 当前范围</t>
        </is>
      </c>
      <c r="H73" s="40" t="inlineStr">
        <is>
          <t>配置源系统 Blob 信息、迁移目录、文件类型</t>
        </is>
      </c>
      <c r="I73" s="40" t="inlineStr">
        <is>
          <t>保存附件迁移配置</t>
        </is>
      </c>
      <c r="J73" s="40" t="inlineStr">
        <is>
          <t>校验配置并生成迁移范围</t>
        </is>
      </c>
      <c r="K73" s="40" t="inlineStr">
        <is>
          <t>配置文件类型</t>
        </is>
      </c>
      <c r="L73" s="40" t="inlineStr">
        <is>
          <t>AttachmentMigrationService（附件迁移服务）</t>
        </is>
      </c>
      <c r="M73" s="38" t="n">
        <v>0.5</v>
      </c>
      <c r="N73" s="38" t="n">
        <v>1</v>
      </c>
      <c r="O73" s="38" t="n">
        <v>0.5</v>
      </c>
      <c r="P73" s="38" t="n">
        <v>0</v>
      </c>
      <c r="Q73" s="38" t="n">
        <v>0.5</v>
      </c>
      <c r="R73" s="38">
        <f>SUM(M73:Q73)</f>
        <v/>
      </c>
      <c r="S73" s="38" t="inlineStr">
        <is>
          <t>未开始</t>
        </is>
      </c>
      <c r="T73" s="38" t="n">
        <v>0</v>
      </c>
      <c r="U73" s="40" t="n"/>
    </row>
    <row r="74" ht="56" customHeight="1">
      <c r="A74" s="59" t="inlineStr">
        <is>
          <t>ADMIN</t>
        </is>
      </c>
      <c r="B74" s="40" t="inlineStr">
        <is>
          <t>附件迁移</t>
        </is>
      </c>
      <c r="C74" s="38" t="inlineStr">
        <is>
          <t>18</t>
        </is>
      </c>
      <c r="D74" s="38" t="inlineStr">
        <is>
          <t>1.18.1</t>
        </is>
      </c>
      <c r="E74" s="38" t="inlineStr">
        <is>
          <t>管理员</t>
        </is>
      </c>
      <c r="F74" s="41" t="inlineStr">
        <is>
          <t>P0</t>
        </is>
      </c>
      <c r="G74" s="40" t="inlineStr">
        <is>
          <t>Phase1 · 当前范围</t>
        </is>
      </c>
      <c r="H74" s="40" t="inlineStr">
        <is>
          <t>执行迁移任务</t>
        </is>
      </c>
      <c r="I74" s="40" t="inlineStr">
        <is>
          <t>选择附件迁移配置</t>
        </is>
      </c>
      <c r="J74" s="40" t="inlineStr">
        <is>
          <t>加载附件迁移范围</t>
        </is>
      </c>
      <c r="K74" s="40" t="inlineStr">
        <is>
          <t>保存附件迁移配置</t>
        </is>
      </c>
      <c r="L74" s="40" t="inlineStr">
        <is>
          <t>AttachmentMigrationService</t>
        </is>
      </c>
      <c r="M74" s="38" t="n">
        <v>0</v>
      </c>
      <c r="N74" s="38" t="n">
        <v>0</v>
      </c>
      <c r="O74" s="38" t="n">
        <v>0.5</v>
      </c>
      <c r="P74" s="38" t="n">
        <v>1</v>
      </c>
      <c r="Q74" s="38" t="n">
        <v>0</v>
      </c>
      <c r="R74" s="38">
        <f>SUM(M74:Q74)</f>
        <v/>
      </c>
      <c r="S74" s="38" t="inlineStr">
        <is>
          <t>未开始</t>
        </is>
      </c>
      <c r="T74" s="38" t="n">
        <v>0</v>
      </c>
      <c r="U74" s="40" t="inlineStr">
        <is>
          <t>Azure Storage Mover</t>
        </is>
      </c>
    </row>
    <row r="75" ht="56" customHeight="1">
      <c r="A75" s="59" t="inlineStr">
        <is>
          <t>ADMIN</t>
        </is>
      </c>
      <c r="B75" s="40" t="inlineStr">
        <is>
          <t>附件迁移</t>
        </is>
      </c>
      <c r="C75" s="38" t="inlineStr">
        <is>
          <t>18</t>
        </is>
      </c>
      <c r="D75" s="38" t="inlineStr">
        <is>
          <t>1.18.2</t>
        </is>
      </c>
      <c r="E75" s="38" t="inlineStr">
        <is>
          <t>管理员</t>
        </is>
      </c>
      <c r="F75" s="41" t="inlineStr">
        <is>
          <t>P0</t>
        </is>
      </c>
      <c r="G75" s="40" t="inlineStr">
        <is>
          <t>Phase1 · 当前范围</t>
        </is>
      </c>
      <c r="H75" s="40" t="inlineStr">
        <is>
          <t>执行迁移任务</t>
        </is>
      </c>
      <c r="I75" s="40" t="inlineStr">
        <is>
          <t>提交附件迁移任务</t>
        </is>
      </c>
      <c r="J75" s="40" t="inlineStr">
        <is>
          <t>调用 Azure Storage Mover 创建任务</t>
        </is>
      </c>
      <c r="K75" s="40" t="inlineStr">
        <is>
          <t>选择附件迁移配置</t>
        </is>
      </c>
      <c r="L75" s="40" t="inlineStr">
        <is>
          <t>AttachmentMigrationService</t>
        </is>
      </c>
      <c r="M75" s="38" t="n">
        <v>0</v>
      </c>
      <c r="N75" s="38" t="n">
        <v>0</v>
      </c>
      <c r="O75" s="38" t="n">
        <v>0.5</v>
      </c>
      <c r="P75" s="38" t="n">
        <v>1</v>
      </c>
      <c r="Q75" s="38" t="n">
        <v>0</v>
      </c>
      <c r="R75" s="38">
        <f>SUM(M75:Q75)</f>
        <v/>
      </c>
      <c r="S75" s="38" t="inlineStr">
        <is>
          <t>未开始</t>
        </is>
      </c>
      <c r="T75" s="38" t="n">
        <v>0</v>
      </c>
      <c r="U75" s="40" t="inlineStr">
        <is>
          <t>Azure Storage Mover</t>
        </is>
      </c>
    </row>
    <row r="76" ht="56" customHeight="1">
      <c r="A76" s="59" t="inlineStr">
        <is>
          <t>ADMIN</t>
        </is>
      </c>
      <c r="B76" s="40" t="inlineStr">
        <is>
          <t>附件迁移</t>
        </is>
      </c>
      <c r="C76" s="38" t="inlineStr">
        <is>
          <t>18</t>
        </is>
      </c>
      <c r="D76" s="38" t="inlineStr">
        <is>
          <t>1.18.3</t>
        </is>
      </c>
      <c r="E76" s="38" t="inlineStr">
        <is>
          <t>管理员</t>
        </is>
      </c>
      <c r="F76" s="41" t="inlineStr">
        <is>
          <t>P0</t>
        </is>
      </c>
      <c r="G76" s="40" t="inlineStr">
        <is>
          <t>Phase1 · 当前范围</t>
        </is>
      </c>
      <c r="H76" s="40" t="inlineStr">
        <is>
          <t>执行迁移任务</t>
        </is>
      </c>
      <c r="I76" s="40" t="inlineStr">
        <is>
          <t>监控迁移进度</t>
        </is>
      </c>
      <c r="J76" s="40" t="inlineStr">
        <is>
          <t>展示文件数量、进度和错误日志</t>
        </is>
      </c>
      <c r="K76" s="40" t="inlineStr">
        <is>
          <t>提交附件迁移任务</t>
        </is>
      </c>
      <c r="L76" s="40" t="inlineStr">
        <is>
          <t>AttachmentMigrationService</t>
        </is>
      </c>
      <c r="M76" s="38" t="n">
        <v>0</v>
      </c>
      <c r="N76" s="38" t="n">
        <v>0</v>
      </c>
      <c r="O76" s="38" t="n">
        <v>0.5</v>
      </c>
      <c r="P76" s="38" t="n">
        <v>1</v>
      </c>
      <c r="Q76" s="38" t="n">
        <v>0</v>
      </c>
      <c r="R76" s="38">
        <f>SUM(M76:Q76)</f>
        <v/>
      </c>
      <c r="S76" s="38" t="inlineStr">
        <is>
          <t>未开始</t>
        </is>
      </c>
      <c r="T76" s="38" t="n">
        <v>0</v>
      </c>
      <c r="U76" s="40" t="inlineStr">
        <is>
          <t>Azure Storage Mover</t>
        </is>
      </c>
    </row>
    <row r="77" ht="56" customHeight="1">
      <c r="A77" s="59" t="inlineStr">
        <is>
          <t>ADMIN</t>
        </is>
      </c>
      <c r="B77" s="40" t="inlineStr">
        <is>
          <t>附件迁移</t>
        </is>
      </c>
      <c r="C77" s="38" t="inlineStr">
        <is>
          <t>18</t>
        </is>
      </c>
      <c r="D77" s="38" t="inlineStr">
        <is>
          <t>1.18.4</t>
        </is>
      </c>
      <c r="E77" s="38" t="inlineStr">
        <is>
          <t>管理员</t>
        </is>
      </c>
      <c r="F77" s="41" t="inlineStr">
        <is>
          <t>P0</t>
        </is>
      </c>
      <c r="G77" s="40" t="inlineStr">
        <is>
          <t>Phase1 · 当前范围</t>
        </is>
      </c>
      <c r="H77" s="40" t="inlineStr">
        <is>
          <t>执行迁移任务</t>
        </is>
      </c>
      <c r="I77" s="40" t="inlineStr">
        <is>
          <t>查看迁移结果</t>
        </is>
      </c>
      <c r="J77" s="40" t="inlineStr">
        <is>
          <t>展示成功、失败和跳过文件</t>
        </is>
      </c>
      <c r="K77" s="40" t="inlineStr">
        <is>
          <t>监控迁移进度</t>
        </is>
      </c>
      <c r="L77" s="40" t="inlineStr">
        <is>
          <t>AttachmentMigrationService</t>
        </is>
      </c>
      <c r="M77" s="38" t="n">
        <v>0</v>
      </c>
      <c r="N77" s="38" t="n">
        <v>0</v>
      </c>
      <c r="O77" s="38" t="n">
        <v>0.5</v>
      </c>
      <c r="P77" s="38" t="n">
        <v>1</v>
      </c>
      <c r="Q77" s="38" t="n">
        <v>0</v>
      </c>
      <c r="R77" s="38">
        <f>SUM(M77:Q77)</f>
        <v/>
      </c>
      <c r="S77" s="38" t="inlineStr">
        <is>
          <t>未开始</t>
        </is>
      </c>
      <c r="T77" s="38" t="n">
        <v>0</v>
      </c>
      <c r="U77" s="40" t="inlineStr">
        <is>
          <t>Azure Storage Mover</t>
        </is>
      </c>
    </row>
    <row r="78" ht="56" customHeight="1">
      <c r="A78" s="59" t="inlineStr">
        <is>
          <t>ADMIN</t>
        </is>
      </c>
      <c r="B78" s="40" t="inlineStr">
        <is>
          <t>动态查询配置</t>
        </is>
      </c>
      <c r="C78" s="38" t="inlineStr">
        <is>
          <t>19</t>
        </is>
      </c>
      <c r="D78" s="38" t="inlineStr">
        <is>
          <t>1.19.1</t>
        </is>
      </c>
      <c r="E78" s="38" t="inlineStr">
        <is>
          <t>管理员</t>
        </is>
      </c>
      <c r="F78" s="41" t="inlineStr">
        <is>
          <t>P0</t>
        </is>
      </c>
      <c r="G78" s="40" t="inlineStr">
        <is>
          <t>Phase1 · 当前范围</t>
        </is>
      </c>
      <c r="H78" s="40" t="inlineStr">
        <is>
          <t>动态查询页面配置（Dynamic Query）</t>
        </is>
      </c>
      <c r="I78" s="40" t="inlineStr">
        <is>
          <t>打开 Dynamic Query 配置</t>
        </is>
      </c>
      <c r="J78" s="40" t="inlineStr">
        <is>
          <t>展示查询页面配置列表</t>
        </is>
      </c>
      <c r="K78" s="40" t="inlineStr">
        <is>
          <t>查看归档结果、查看迁移结果</t>
        </is>
      </c>
      <c r="L78" s="40" t="inlineStr">
        <is>
          <t>ArchiveQueryService（归档查询服务）</t>
        </is>
      </c>
      <c r="M78" s="38" t="n">
        <v>2</v>
      </c>
      <c r="N78" s="38" t="n">
        <v>2</v>
      </c>
      <c r="O78" s="38" t="n">
        <v>3</v>
      </c>
      <c r="P78" s="38" t="n">
        <v>0</v>
      </c>
      <c r="Q78" s="38" t="n">
        <v>2</v>
      </c>
      <c r="R78" s="38">
        <f>SUM(M78:Q78)</f>
        <v/>
      </c>
      <c r="S78" s="38" t="inlineStr">
        <is>
          <t>未开始</t>
        </is>
      </c>
      <c r="T78" s="38" t="n">
        <v>0</v>
      </c>
      <c r="U78" s="40" t="inlineStr">
        <is>
          <t>配置列表+详情查询范围，提供给 End User 直接查询；不含报表/审批流</t>
        </is>
      </c>
    </row>
    <row r="79" ht="56" customHeight="1">
      <c r="A79" s="59" t="inlineStr">
        <is>
          <t>ADMIN</t>
        </is>
      </c>
      <c r="B79" s="40" t="inlineStr">
        <is>
          <t>动态查询配置</t>
        </is>
      </c>
      <c r="C79" s="38" t="inlineStr">
        <is>
          <t>19</t>
        </is>
      </c>
      <c r="D79" s="38" t="inlineStr">
        <is>
          <t>1.19.2</t>
        </is>
      </c>
      <c r="E79" s="38" t="inlineStr">
        <is>
          <t>管理员</t>
        </is>
      </c>
      <c r="F79" s="41" t="inlineStr">
        <is>
          <t>P0</t>
        </is>
      </c>
      <c r="G79" s="40" t="inlineStr">
        <is>
          <t>Phase1 · 当前范围</t>
        </is>
      </c>
      <c r="H79" s="40" t="inlineStr">
        <is>
          <t>动态查询页面配置（Dynamic Query）</t>
        </is>
      </c>
      <c r="I79" s="40" t="inlineStr">
        <is>
          <t>配置查询条件</t>
        </is>
      </c>
      <c r="J79" s="40" t="inlineStr">
        <is>
          <t>配置系统、时间和业务字段条件</t>
        </is>
      </c>
      <c r="K79" s="40" t="inlineStr">
        <is>
          <t>打开 Dynamic Query 配置</t>
        </is>
      </c>
      <c r="L79" s="40" t="inlineStr">
        <is>
          <t>ArchiveQueryService（归档查询服务）</t>
        </is>
      </c>
      <c r="M79" s="38" t="n">
        <v>2</v>
      </c>
      <c r="N79" s="38" t="n">
        <v>2</v>
      </c>
      <c r="O79" s="38" t="n">
        <v>3</v>
      </c>
      <c r="P79" s="38" t="n">
        <v>0</v>
      </c>
      <c r="Q79" s="38" t="n">
        <v>2</v>
      </c>
      <c r="R79" s="38">
        <f>SUM(M79:Q79)</f>
        <v/>
      </c>
      <c r="S79" s="38" t="inlineStr">
        <is>
          <t>未开始</t>
        </is>
      </c>
      <c r="T79" s="38" t="n">
        <v>0</v>
      </c>
      <c r="U79" s="40" t="inlineStr">
        <is>
          <t>配置列表+详情查询范围，提供给 End User 直接查询；不含报表/审批流</t>
        </is>
      </c>
    </row>
    <row r="80" ht="56" customHeight="1">
      <c r="A80" s="59" t="inlineStr">
        <is>
          <t>ADMIN</t>
        </is>
      </c>
      <c r="B80" s="40" t="inlineStr">
        <is>
          <t>动态查询配置</t>
        </is>
      </c>
      <c r="C80" s="38" t="inlineStr">
        <is>
          <t>19</t>
        </is>
      </c>
      <c r="D80" s="38" t="inlineStr">
        <is>
          <t>1.19.3</t>
        </is>
      </c>
      <c r="E80" s="38" t="inlineStr">
        <is>
          <t>管理员</t>
        </is>
      </c>
      <c r="F80" s="41" t="inlineStr">
        <is>
          <t>P0</t>
        </is>
      </c>
      <c r="G80" s="40" t="inlineStr">
        <is>
          <t>Phase1 · 当前范围</t>
        </is>
      </c>
      <c r="H80" s="40" t="inlineStr">
        <is>
          <t>动态查询页面配置（Dynamic Query）</t>
        </is>
      </c>
      <c r="I80" s="40" t="inlineStr">
        <is>
          <t>配置列表字段</t>
        </is>
      </c>
      <c r="J80" s="40" t="inlineStr">
        <is>
          <t>选择列表展示字段及排序</t>
        </is>
      </c>
      <c r="K80" s="40" t="inlineStr">
        <is>
          <t>打开 Dynamic Query 配置</t>
        </is>
      </c>
      <c r="L80" s="40" t="inlineStr">
        <is>
          <t>ArchiveQueryService（归档查询服务）</t>
        </is>
      </c>
      <c r="M80" s="38" t="n">
        <v>2</v>
      </c>
      <c r="N80" s="38" t="n">
        <v>2</v>
      </c>
      <c r="O80" s="38" t="n">
        <v>3</v>
      </c>
      <c r="P80" s="38" t="n">
        <v>0</v>
      </c>
      <c r="Q80" s="38" t="n">
        <v>2</v>
      </c>
      <c r="R80" s="38">
        <f>SUM(M80:Q80)</f>
        <v/>
      </c>
      <c r="S80" s="38" t="inlineStr">
        <is>
          <t>未开始</t>
        </is>
      </c>
      <c r="T80" s="38" t="n">
        <v>0</v>
      </c>
      <c r="U80" s="40" t="inlineStr">
        <is>
          <t>配置列表+详情查询范围，提供给 End User 直接查询；不含报表/审批流</t>
        </is>
      </c>
    </row>
    <row r="81" ht="56" customHeight="1">
      <c r="A81" s="59" t="inlineStr">
        <is>
          <t>ADMIN</t>
        </is>
      </c>
      <c r="B81" s="40" t="inlineStr">
        <is>
          <t>动态查询配置</t>
        </is>
      </c>
      <c r="C81" s="38" t="inlineStr">
        <is>
          <t>19</t>
        </is>
      </c>
      <c r="D81" s="38" t="inlineStr">
        <is>
          <t>1.19.4</t>
        </is>
      </c>
      <c r="E81" s="38" t="inlineStr">
        <is>
          <t>管理员</t>
        </is>
      </c>
      <c r="F81" s="41" t="inlineStr">
        <is>
          <t>P0</t>
        </is>
      </c>
      <c r="G81" s="40" t="inlineStr">
        <is>
          <t>Phase1 · 当前范围</t>
        </is>
      </c>
      <c r="H81" s="40" t="inlineStr">
        <is>
          <t>动态查询页面配置（Dynamic Query）</t>
        </is>
      </c>
      <c r="I81" s="40" t="inlineStr">
        <is>
          <t>配置详情字段</t>
        </is>
      </c>
      <c r="J81" s="40" t="inlineStr">
        <is>
          <t>选择详情展示字段和关联信息</t>
        </is>
      </c>
      <c r="K81" s="40" t="inlineStr">
        <is>
          <t>配置列表字段</t>
        </is>
      </c>
      <c r="L81" s="40" t="inlineStr">
        <is>
          <t>ArchiveQueryService（归档查询服务）</t>
        </is>
      </c>
      <c r="M81" s="38" t="n">
        <v>2</v>
      </c>
      <c r="N81" s="38" t="n">
        <v>2</v>
      </c>
      <c r="O81" s="38" t="n">
        <v>3</v>
      </c>
      <c r="P81" s="38" t="n">
        <v>0</v>
      </c>
      <c r="Q81" s="38" t="n">
        <v>2</v>
      </c>
      <c r="R81" s="38">
        <f>SUM(M81:Q81)</f>
        <v/>
      </c>
      <c r="S81" s="38" t="inlineStr">
        <is>
          <t>未开始</t>
        </is>
      </c>
      <c r="T81" s="38" t="n">
        <v>0</v>
      </c>
      <c r="U81" s="40" t="inlineStr">
        <is>
          <t>配置列表+详情查询范围，提供给 End User 直接查询；不含报表/审批流</t>
        </is>
      </c>
    </row>
    <row r="82" ht="56" customHeight="1">
      <c r="A82" s="59" t="inlineStr">
        <is>
          <t>ADMIN</t>
        </is>
      </c>
      <c r="B82" s="40" t="inlineStr">
        <is>
          <t>动态查询配置</t>
        </is>
      </c>
      <c r="C82" s="38" t="inlineStr">
        <is>
          <t>19</t>
        </is>
      </c>
      <c r="D82" s="38" t="inlineStr">
        <is>
          <t>1.19.5</t>
        </is>
      </c>
      <c r="E82" s="38" t="inlineStr">
        <is>
          <t>管理员</t>
        </is>
      </c>
      <c r="F82" s="41" t="inlineStr">
        <is>
          <t>P0</t>
        </is>
      </c>
      <c r="G82" s="40" t="inlineStr">
        <is>
          <t>Phase1 · 当前范围</t>
        </is>
      </c>
      <c r="H82" s="40" t="inlineStr">
        <is>
          <t>动态查询页面配置（Dynamic Query）</t>
        </is>
      </c>
      <c r="I82" s="40" t="inlineStr">
        <is>
          <t>配置附件入口</t>
        </is>
      </c>
      <c r="J82" s="40" t="inlineStr">
        <is>
          <t>配置附件展示、预览和下载入口</t>
        </is>
      </c>
      <c r="K82" s="40" t="inlineStr">
        <is>
          <t>配置详情字段</t>
        </is>
      </c>
      <c r="L82" s="40" t="inlineStr">
        <is>
          <t>ArchiveQueryService（归档查询服务）</t>
        </is>
      </c>
      <c r="M82" s="38" t="n">
        <v>2</v>
      </c>
      <c r="N82" s="38" t="n">
        <v>2</v>
      </c>
      <c r="O82" s="38" t="n">
        <v>3</v>
      </c>
      <c r="P82" s="38" t="n">
        <v>0</v>
      </c>
      <c r="Q82" s="38" t="n">
        <v>2</v>
      </c>
      <c r="R82" s="38">
        <f>SUM(M82:Q82)</f>
        <v/>
      </c>
      <c r="S82" s="38" t="inlineStr">
        <is>
          <t>未开始</t>
        </is>
      </c>
      <c r="T82" s="38" t="n">
        <v>0</v>
      </c>
      <c r="U82" s="40" t="inlineStr">
        <is>
          <t>配置列表+详情查询范围，提供给 End User 直接查询；不含报表/审批流</t>
        </is>
      </c>
    </row>
    <row r="83" ht="56" customHeight="1">
      <c r="A83" s="59" t="inlineStr">
        <is>
          <t>ADMIN</t>
        </is>
      </c>
      <c r="B83" s="40" t="inlineStr">
        <is>
          <t>动态查询配置</t>
        </is>
      </c>
      <c r="C83" s="38" t="inlineStr">
        <is>
          <t>19</t>
        </is>
      </c>
      <c r="D83" s="38" t="inlineStr">
        <is>
          <t>1.19.6</t>
        </is>
      </c>
      <c r="E83" s="38" t="inlineStr">
        <is>
          <t>管理员</t>
        </is>
      </c>
      <c r="F83" s="41" t="inlineStr">
        <is>
          <t>P0</t>
        </is>
      </c>
      <c r="G83" s="40" t="inlineStr">
        <is>
          <t>Phase1 · 当前范围</t>
        </is>
      </c>
      <c r="H83" s="40" t="inlineStr">
        <is>
          <t>动态查询页面配置（Dynamic Query）</t>
        </is>
      </c>
      <c r="I83" s="40" t="inlineStr">
        <is>
          <t>预览查询页面</t>
        </is>
      </c>
      <c r="J83" s="40" t="inlineStr">
        <is>
          <t>按管理员视角预览列表和详情效果</t>
        </is>
      </c>
      <c r="K83" s="40" t="inlineStr">
        <is>
          <t>配置附件入口</t>
        </is>
      </c>
      <c r="L83" s="40" t="inlineStr">
        <is>
          <t>ArchiveQueryService（归档查询服务）</t>
        </is>
      </c>
      <c r="M83" s="38" t="n">
        <v>2</v>
      </c>
      <c r="N83" s="38" t="n">
        <v>2</v>
      </c>
      <c r="O83" s="38" t="n">
        <v>3</v>
      </c>
      <c r="P83" s="38" t="n">
        <v>0</v>
      </c>
      <c r="Q83" s="38" t="n">
        <v>2</v>
      </c>
      <c r="R83" s="38">
        <f>SUM(M83:Q83)</f>
        <v/>
      </c>
      <c r="S83" s="38" t="inlineStr">
        <is>
          <t>未开始</t>
        </is>
      </c>
      <c r="T83" s="38" t="n">
        <v>0</v>
      </c>
      <c r="U83" s="40" t="inlineStr">
        <is>
          <t>配置列表+详情查询范围，提供给 End User 直接查询；不含报表/审批流</t>
        </is>
      </c>
    </row>
    <row r="84" ht="56" customHeight="1">
      <c r="A84" s="59" t="inlineStr">
        <is>
          <t>ADMIN</t>
        </is>
      </c>
      <c r="B84" s="40" t="inlineStr">
        <is>
          <t>动态查询配置</t>
        </is>
      </c>
      <c r="C84" s="38" t="inlineStr">
        <is>
          <t>19</t>
        </is>
      </c>
      <c r="D84" s="38" t="inlineStr">
        <is>
          <t>1.19.7</t>
        </is>
      </c>
      <c r="E84" s="38" t="inlineStr">
        <is>
          <t>管理员</t>
        </is>
      </c>
      <c r="F84" s="41" t="inlineStr">
        <is>
          <t>P0</t>
        </is>
      </c>
      <c r="G84" s="40" t="inlineStr">
        <is>
          <t>Phase1 · 当前范围</t>
        </is>
      </c>
      <c r="H84" s="40" t="inlineStr">
        <is>
          <t>动态查询页面配置（Dynamic Query）</t>
        </is>
      </c>
      <c r="I84" s="40" t="inlineStr">
        <is>
          <t>发布 Dynamic Query</t>
        </is>
      </c>
      <c r="J84" s="40" t="inlineStr">
        <is>
          <t>发布查询配置供 End User 使用</t>
        </is>
      </c>
      <c r="K84" s="40" t="inlineStr">
        <is>
          <t>预览查询页面</t>
        </is>
      </c>
      <c r="L84" s="40" t="inlineStr">
        <is>
          <t>ArchiveQueryService（归档查询服务）</t>
        </is>
      </c>
      <c r="M84" s="38" t="n">
        <v>2</v>
      </c>
      <c r="N84" s="38" t="n">
        <v>2</v>
      </c>
      <c r="O84" s="38" t="n">
        <v>3</v>
      </c>
      <c r="P84" s="38" t="n">
        <v>0</v>
      </c>
      <c r="Q84" s="38" t="n">
        <v>2</v>
      </c>
      <c r="R84" s="38">
        <f>SUM(M84:Q84)</f>
        <v/>
      </c>
      <c r="S84" s="38" t="inlineStr">
        <is>
          <t>未开始</t>
        </is>
      </c>
      <c r="T84" s="38" t="n">
        <v>0</v>
      </c>
      <c r="U84" s="40" t="inlineStr">
        <is>
          <t>配置列表+详情查询范围，提供给 End User 直接查询；不含报表/审批流</t>
        </is>
      </c>
    </row>
    <row r="85" ht="56" customHeight="1">
      <c r="A85" s="59" t="inlineStr">
        <is>
          <t>ADMIN</t>
        </is>
      </c>
      <c r="B85" s="40" t="inlineStr">
        <is>
          <t>权限管理</t>
        </is>
      </c>
      <c r="C85" s="38" t="inlineStr">
        <is>
          <t>20</t>
        </is>
      </c>
      <c r="D85" s="38" t="inlineStr">
        <is>
          <t>1.20.1</t>
        </is>
      </c>
      <c r="E85" s="38" t="inlineStr">
        <is>
          <t>管理员</t>
        </is>
      </c>
      <c r="F85" s="41" t="inlineStr">
        <is>
          <t>P0</t>
        </is>
      </c>
      <c r="G85" s="40" t="inlineStr">
        <is>
          <t>Phase1 · 当前范围</t>
        </is>
      </c>
      <c r="H85" s="40" t="inlineStr">
        <is>
          <t>用户、角色、权限管理（设置角色权限）</t>
        </is>
      </c>
      <c r="I85" s="40" t="inlineStr">
        <is>
          <t>打开权限管理</t>
        </is>
      </c>
      <c r="J85" s="40" t="inlineStr">
        <is>
          <t>展示用户、角色及权限配置入口</t>
        </is>
      </c>
      <c r="K85" s="40" t="inlineStr">
        <is>
          <t>企业 SSO 集成</t>
        </is>
      </c>
      <c r="L85" s="40" t="inlineStr">
        <is>
          <t>AuthManagementService</t>
        </is>
      </c>
      <c r="M85" s="38" t="n">
        <v>2</v>
      </c>
      <c r="N85" s="38" t="n">
        <v>2</v>
      </c>
      <c r="O85" s="38" t="n">
        <v>0</v>
      </c>
      <c r="P85" s="38" t="n">
        <v>0</v>
      </c>
      <c r="Q85" s="38" t="n">
        <v>0</v>
      </c>
      <c r="R85" s="38">
        <f>SUM(M85:Q85)</f>
        <v/>
      </c>
      <c r="S85" s="38" t="inlineStr">
        <is>
          <t>未开始</t>
        </is>
      </c>
      <c r="T85" s="38" t="n">
        <v>0</v>
      </c>
      <c r="U85" s="40" t="inlineStr">
        <is>
          <t>来源系统与角色关联权限</t>
        </is>
      </c>
    </row>
    <row r="86" ht="56" customHeight="1">
      <c r="A86" s="59" t="inlineStr">
        <is>
          <t>ADMIN</t>
        </is>
      </c>
      <c r="B86" s="40" t="inlineStr">
        <is>
          <t>权限管理</t>
        </is>
      </c>
      <c r="C86" s="38" t="inlineStr">
        <is>
          <t>20</t>
        </is>
      </c>
      <c r="D86" s="38" t="inlineStr">
        <is>
          <t>1.20.2</t>
        </is>
      </c>
      <c r="E86" s="38" t="inlineStr">
        <is>
          <t>管理员</t>
        </is>
      </c>
      <c r="F86" s="41" t="inlineStr">
        <is>
          <t>P0</t>
        </is>
      </c>
      <c r="G86" s="40" t="inlineStr">
        <is>
          <t>Phase1 · 当前范围</t>
        </is>
      </c>
      <c r="H86" s="40" t="inlineStr">
        <is>
          <t>用户、角色、权限管理（设置角色权限）</t>
        </is>
      </c>
      <c r="I86" s="40" t="inlineStr">
        <is>
          <t>创建或编辑角色</t>
        </is>
      </c>
      <c r="J86" s="40" t="inlineStr">
        <is>
          <t>保存角色名称和角色说明</t>
        </is>
      </c>
      <c r="K86" s="40" t="inlineStr">
        <is>
          <t>打开权限管理</t>
        </is>
      </c>
      <c r="L86" s="40" t="inlineStr">
        <is>
          <t>AuthManagementService</t>
        </is>
      </c>
      <c r="M86" s="38" t="n">
        <v>2</v>
      </c>
      <c r="N86" s="38" t="n">
        <v>2</v>
      </c>
      <c r="O86" s="38" t="n">
        <v>0</v>
      </c>
      <c r="P86" s="38" t="n">
        <v>0</v>
      </c>
      <c r="Q86" s="38" t="n">
        <v>0</v>
      </c>
      <c r="R86" s="38">
        <f>SUM(M86:Q86)</f>
        <v/>
      </c>
      <c r="S86" s="38" t="inlineStr">
        <is>
          <t>未开始</t>
        </is>
      </c>
      <c r="T86" s="38" t="n">
        <v>0</v>
      </c>
      <c r="U86" s="40" t="inlineStr">
        <is>
          <t>来源系统与角色关联权限</t>
        </is>
      </c>
    </row>
    <row r="87" ht="56" customHeight="1">
      <c r="A87" s="59" t="inlineStr">
        <is>
          <t>ADMIN</t>
        </is>
      </c>
      <c r="B87" s="40" t="inlineStr">
        <is>
          <t>权限管理</t>
        </is>
      </c>
      <c r="C87" s="38" t="inlineStr">
        <is>
          <t>20</t>
        </is>
      </c>
      <c r="D87" s="38" t="inlineStr">
        <is>
          <t>1.20.3</t>
        </is>
      </c>
      <c r="E87" s="38" t="inlineStr">
        <is>
          <t>管理员</t>
        </is>
      </c>
      <c r="F87" s="41" t="inlineStr">
        <is>
          <t>P0</t>
        </is>
      </c>
      <c r="G87" s="40" t="inlineStr">
        <is>
          <t>Phase1 · 当前范围</t>
        </is>
      </c>
      <c r="H87" s="40" t="inlineStr">
        <is>
          <t>用户、角色、权限管理（设置角色权限）</t>
        </is>
      </c>
      <c r="I87" s="40" t="inlineStr">
        <is>
          <t>配置菜单权限</t>
        </is>
      </c>
      <c r="J87" s="40" t="inlineStr">
        <is>
          <t>为角色分配菜单和功能权限</t>
        </is>
      </c>
      <c r="K87" s="40" t="inlineStr">
        <is>
          <t>创建或编辑角色</t>
        </is>
      </c>
      <c r="L87" s="40" t="inlineStr">
        <is>
          <t>AuthManagementService</t>
        </is>
      </c>
      <c r="M87" s="38" t="n">
        <v>2</v>
      </c>
      <c r="N87" s="38" t="n">
        <v>2</v>
      </c>
      <c r="O87" s="38" t="n">
        <v>0</v>
      </c>
      <c r="P87" s="38" t="n">
        <v>0</v>
      </c>
      <c r="Q87" s="38" t="n">
        <v>0</v>
      </c>
      <c r="R87" s="38">
        <f>SUM(M87:Q87)</f>
        <v/>
      </c>
      <c r="S87" s="38" t="inlineStr">
        <is>
          <t>未开始</t>
        </is>
      </c>
      <c r="T87" s="38" t="n">
        <v>0</v>
      </c>
      <c r="U87" s="40" t="inlineStr">
        <is>
          <t>来源系统与角色关联权限</t>
        </is>
      </c>
    </row>
    <row r="88" ht="56" customHeight="1">
      <c r="A88" s="59" t="inlineStr">
        <is>
          <t>ADMIN</t>
        </is>
      </c>
      <c r="B88" s="40" t="inlineStr">
        <is>
          <t>权限管理</t>
        </is>
      </c>
      <c r="C88" s="38" t="inlineStr">
        <is>
          <t>20</t>
        </is>
      </c>
      <c r="D88" s="38" t="inlineStr">
        <is>
          <t>1.20.4</t>
        </is>
      </c>
      <c r="E88" s="38" t="inlineStr">
        <is>
          <t>管理员</t>
        </is>
      </c>
      <c r="F88" s="41" t="inlineStr">
        <is>
          <t>P0</t>
        </is>
      </c>
      <c r="G88" s="40" t="inlineStr">
        <is>
          <t>Phase1 · 当前范围</t>
        </is>
      </c>
      <c r="H88" s="40" t="inlineStr">
        <is>
          <t>用户、角色、权限管理（设置角色权限）</t>
        </is>
      </c>
      <c r="I88" s="40" t="inlineStr">
        <is>
          <t>配置来源系统权限</t>
        </is>
      </c>
      <c r="J88" s="40" t="inlineStr">
        <is>
          <t>关联角色可访问的来源系统和数据范围</t>
        </is>
      </c>
      <c r="K88" s="40" t="inlineStr">
        <is>
          <t>配置菜单权限</t>
        </is>
      </c>
      <c r="L88" s="40" t="inlineStr">
        <is>
          <t>AuthManagementService</t>
        </is>
      </c>
      <c r="M88" s="38" t="n">
        <v>2</v>
      </c>
      <c r="N88" s="38" t="n">
        <v>2</v>
      </c>
      <c r="O88" s="38" t="n">
        <v>0</v>
      </c>
      <c r="P88" s="38" t="n">
        <v>0</v>
      </c>
      <c r="Q88" s="38" t="n">
        <v>0</v>
      </c>
      <c r="R88" s="38">
        <f>SUM(M88:Q88)</f>
        <v/>
      </c>
      <c r="S88" s="38" t="inlineStr">
        <is>
          <t>未开始</t>
        </is>
      </c>
      <c r="T88" s="38" t="n">
        <v>0</v>
      </c>
      <c r="U88" s="40" t="inlineStr">
        <is>
          <t>来源系统与角色关联权限</t>
        </is>
      </c>
    </row>
    <row r="89" ht="56" customHeight="1">
      <c r="A89" s="59" t="inlineStr">
        <is>
          <t>ADMIN</t>
        </is>
      </c>
      <c r="B89" s="40" t="inlineStr">
        <is>
          <t>权限管理</t>
        </is>
      </c>
      <c r="C89" s="38" t="inlineStr">
        <is>
          <t>20</t>
        </is>
      </c>
      <c r="D89" s="38" t="inlineStr">
        <is>
          <t>1.20.5</t>
        </is>
      </c>
      <c r="E89" s="38" t="inlineStr">
        <is>
          <t>管理员</t>
        </is>
      </c>
      <c r="F89" s="41" t="inlineStr">
        <is>
          <t>P0</t>
        </is>
      </c>
      <c r="G89" s="40" t="inlineStr">
        <is>
          <t>Phase1 · 当前范围</t>
        </is>
      </c>
      <c r="H89" s="40" t="inlineStr">
        <is>
          <t>用户、角色、权限管理（设置角色权限）</t>
        </is>
      </c>
      <c r="I89" s="40" t="inlineStr">
        <is>
          <t>关联用户</t>
        </is>
      </c>
      <c r="J89" s="40" t="inlineStr">
        <is>
          <t>将用户加入角色</t>
        </is>
      </c>
      <c r="K89" s="40" t="inlineStr">
        <is>
          <t>配置来源系统权限</t>
        </is>
      </c>
      <c r="L89" s="40" t="inlineStr">
        <is>
          <t>AuthManagementService</t>
        </is>
      </c>
      <c r="M89" s="38" t="n">
        <v>2</v>
      </c>
      <c r="N89" s="38" t="n">
        <v>2</v>
      </c>
      <c r="O89" s="38" t="n">
        <v>0</v>
      </c>
      <c r="P89" s="38" t="n">
        <v>0</v>
      </c>
      <c r="Q89" s="38" t="n">
        <v>0</v>
      </c>
      <c r="R89" s="38">
        <f>SUM(M89:Q89)</f>
        <v/>
      </c>
      <c r="S89" s="38" t="inlineStr">
        <is>
          <t>未开始</t>
        </is>
      </c>
      <c r="T89" s="38" t="n">
        <v>0</v>
      </c>
      <c r="U89" s="40" t="inlineStr">
        <is>
          <t>来源系统与角色关联权限</t>
        </is>
      </c>
    </row>
    <row r="90" ht="56" customHeight="1">
      <c r="A90" s="59" t="inlineStr">
        <is>
          <t>ADMIN</t>
        </is>
      </c>
      <c r="B90" s="40" t="inlineStr">
        <is>
          <t>权限管理</t>
        </is>
      </c>
      <c r="C90" s="38" t="inlineStr">
        <is>
          <t>20</t>
        </is>
      </c>
      <c r="D90" s="38" t="inlineStr">
        <is>
          <t>1.20.6</t>
        </is>
      </c>
      <c r="E90" s="38" t="inlineStr">
        <is>
          <t>管理员</t>
        </is>
      </c>
      <c r="F90" s="41" t="inlineStr">
        <is>
          <t>P0</t>
        </is>
      </c>
      <c r="G90" s="40" t="inlineStr">
        <is>
          <t>Phase1 · 当前范围</t>
        </is>
      </c>
      <c r="H90" s="40" t="inlineStr">
        <is>
          <t>用户、角色、权限管理（设置角色权限）</t>
        </is>
      </c>
      <c r="I90" s="40" t="inlineStr">
        <is>
          <t>保存权限配置</t>
        </is>
      </c>
      <c r="J90" s="40" t="inlineStr">
        <is>
          <t>生效并返回授权结果</t>
        </is>
      </c>
      <c r="K90" s="40" t="inlineStr">
        <is>
          <t>关联用户</t>
        </is>
      </c>
      <c r="L90" s="40" t="inlineStr">
        <is>
          <t>AuthManagementService</t>
        </is>
      </c>
      <c r="M90" s="38" t="n">
        <v>2</v>
      </c>
      <c r="N90" s="38" t="n">
        <v>2</v>
      </c>
      <c r="O90" s="38" t="n">
        <v>0</v>
      </c>
      <c r="P90" s="38" t="n">
        <v>0</v>
      </c>
      <c r="Q90" s="38" t="n">
        <v>0</v>
      </c>
      <c r="R90" s="38">
        <f>SUM(M90:Q90)</f>
        <v/>
      </c>
      <c r="S90" s="38" t="inlineStr">
        <is>
          <t>未开始</t>
        </is>
      </c>
      <c r="T90" s="38" t="n">
        <v>0</v>
      </c>
      <c r="U90" s="40" t="inlineStr">
        <is>
          <t>来源系统与角色关联权限</t>
        </is>
      </c>
    </row>
    <row r="91" ht="56" customHeight="1">
      <c r="A91" s="59" t="inlineStr">
        <is>
          <t>ADMIN</t>
        </is>
      </c>
      <c r="B91" s="40" t="inlineStr">
        <is>
          <t>权限管理</t>
        </is>
      </c>
      <c r="C91" s="38" t="inlineStr">
        <is>
          <t>21</t>
        </is>
      </c>
      <c r="D91" s="38" t="inlineStr">
        <is>
          <t>1.21.1</t>
        </is>
      </c>
      <c r="E91" s="38" t="inlineStr">
        <is>
          <t>管理员</t>
        </is>
      </c>
      <c r="F91" s="41" t="inlineStr">
        <is>
          <t>P0</t>
        </is>
      </c>
      <c r="G91" s="40" t="inlineStr">
        <is>
          <t>Phase1 · 当前范围</t>
        </is>
      </c>
      <c r="H91" s="40" t="inlineStr">
        <is>
          <t>权限操作日志</t>
        </is>
      </c>
      <c r="I91" s="40" t="inlineStr">
        <is>
          <t>打开权限操作日志</t>
        </is>
      </c>
      <c r="J91" s="40" t="inlineStr">
        <is>
          <t>展示权限变更日志列表</t>
        </is>
      </c>
      <c r="K91" s="40" t="inlineStr">
        <is>
          <t>用户、角色、权限管理（设置角色权限）</t>
        </is>
      </c>
      <c r="L91" s="40" t="inlineStr">
        <is>
          <t>AuditService（审计服务）</t>
        </is>
      </c>
      <c r="M91" s="38" t="n">
        <v>0</v>
      </c>
      <c r="N91" s="38" t="n">
        <v>0</v>
      </c>
      <c r="O91" s="38" t="n">
        <v>0.5</v>
      </c>
      <c r="P91" s="38" t="n">
        <v>0</v>
      </c>
      <c r="Q91" s="38" t="n">
        <v>0</v>
      </c>
      <c r="R91" s="38">
        <f>SUM(M91:Q91)</f>
        <v/>
      </c>
      <c r="S91" s="38" t="inlineStr">
        <is>
          <t>未开始</t>
        </is>
      </c>
      <c r="T91" s="38" t="n">
        <v>0</v>
      </c>
      <c r="U91" s="40" t="inlineStr">
        <is>
          <t>记录权限变更日志</t>
        </is>
      </c>
    </row>
    <row r="92" ht="56" customHeight="1">
      <c r="A92" s="59" t="inlineStr">
        <is>
          <t>ADMIN</t>
        </is>
      </c>
      <c r="B92" s="40" t="inlineStr">
        <is>
          <t>权限管理</t>
        </is>
      </c>
      <c r="C92" s="38" t="inlineStr">
        <is>
          <t>21</t>
        </is>
      </c>
      <c r="D92" s="38" t="inlineStr">
        <is>
          <t>1.21.2</t>
        </is>
      </c>
      <c r="E92" s="38" t="inlineStr">
        <is>
          <t>管理员</t>
        </is>
      </c>
      <c r="F92" s="41" t="inlineStr">
        <is>
          <t>P0</t>
        </is>
      </c>
      <c r="G92" s="40" t="inlineStr">
        <is>
          <t>Phase1 · 当前范围</t>
        </is>
      </c>
      <c r="H92" s="40" t="inlineStr">
        <is>
          <t>权限操作日志</t>
        </is>
      </c>
      <c r="I92" s="40" t="inlineStr">
        <is>
          <t>筛选权限变更记录</t>
        </is>
      </c>
      <c r="J92" s="40" t="inlineStr">
        <is>
          <t>按时间、操作者、角色和对象筛选</t>
        </is>
      </c>
      <c r="K92" s="40" t="inlineStr">
        <is>
          <t>打开权限操作日志</t>
        </is>
      </c>
      <c r="L92" s="40" t="inlineStr">
        <is>
          <t>AuditService（审计服务）</t>
        </is>
      </c>
      <c r="M92" s="38" t="n">
        <v>0</v>
      </c>
      <c r="N92" s="38" t="n">
        <v>0</v>
      </c>
      <c r="O92" s="38" t="n">
        <v>0.5</v>
      </c>
      <c r="P92" s="38" t="n">
        <v>0</v>
      </c>
      <c r="Q92" s="38" t="n">
        <v>0</v>
      </c>
      <c r="R92" s="38">
        <f>SUM(M92:Q92)</f>
        <v/>
      </c>
      <c r="S92" s="38" t="inlineStr">
        <is>
          <t>未开始</t>
        </is>
      </c>
      <c r="T92" s="38" t="n">
        <v>0</v>
      </c>
      <c r="U92" s="40" t="inlineStr">
        <is>
          <t>记录权限变更日志</t>
        </is>
      </c>
    </row>
    <row r="93" ht="56" customHeight="1">
      <c r="A93" s="59" t="inlineStr">
        <is>
          <t>ADMIN</t>
        </is>
      </c>
      <c r="B93" s="40" t="inlineStr">
        <is>
          <t>权限管理</t>
        </is>
      </c>
      <c r="C93" s="38" t="inlineStr">
        <is>
          <t>21</t>
        </is>
      </c>
      <c r="D93" s="38" t="inlineStr">
        <is>
          <t>1.21.3</t>
        </is>
      </c>
      <c r="E93" s="38" t="inlineStr">
        <is>
          <t>管理员</t>
        </is>
      </c>
      <c r="F93" s="41" t="inlineStr">
        <is>
          <t>P0</t>
        </is>
      </c>
      <c r="G93" s="40" t="inlineStr">
        <is>
          <t>Phase1 · 当前范围</t>
        </is>
      </c>
      <c r="H93" s="40" t="inlineStr">
        <is>
          <t>权限操作日志</t>
        </is>
      </c>
      <c r="I93" s="40" t="inlineStr">
        <is>
          <t>查看权限变更详情</t>
        </is>
      </c>
      <c r="J93" s="40" t="inlineStr">
        <is>
          <t>展示变更前后内容和操作结果</t>
        </is>
      </c>
      <c r="K93" s="40" t="inlineStr">
        <is>
          <t>筛选权限变更记录</t>
        </is>
      </c>
      <c r="L93" s="40" t="inlineStr">
        <is>
          <t>AuditService（审计服务）</t>
        </is>
      </c>
      <c r="M93" s="38" t="n">
        <v>0</v>
      </c>
      <c r="N93" s="38" t="n">
        <v>0</v>
      </c>
      <c r="O93" s="38" t="n">
        <v>0.5</v>
      </c>
      <c r="P93" s="38" t="n">
        <v>0</v>
      </c>
      <c r="Q93" s="38" t="n">
        <v>0</v>
      </c>
      <c r="R93" s="38">
        <f>SUM(M93:Q93)</f>
        <v/>
      </c>
      <c r="S93" s="38" t="inlineStr">
        <is>
          <t>未开始</t>
        </is>
      </c>
      <c r="T93" s="38" t="n">
        <v>0</v>
      </c>
      <c r="U93" s="40" t="inlineStr">
        <is>
          <t>记录权限变更日志</t>
        </is>
      </c>
    </row>
    <row r="94" ht="56" customHeight="1">
      <c r="A94" s="59" t="inlineStr">
        <is>
          <t>ADMIN</t>
        </is>
      </c>
      <c r="B94" s="40" t="inlineStr">
        <is>
          <t>生命周期管理</t>
        </is>
      </c>
      <c r="C94" s="38" t="inlineStr">
        <is>
          <t>22</t>
        </is>
      </c>
      <c r="D94" s="38" t="inlineStr">
        <is>
          <t>1.22.1</t>
        </is>
      </c>
      <c r="E94" s="38" t="inlineStr">
        <is>
          <t>管理员</t>
        </is>
      </c>
      <c r="F94" s="42" t="inlineStr">
        <is>
          <t>P1</t>
        </is>
      </c>
      <c r="G94" s="40" t="inlineStr">
        <is>
          <t>Phase1 · 当前范围</t>
        </is>
      </c>
      <c r="H94" s="40" t="inlineStr">
        <is>
          <t>保留期限校验</t>
        </is>
      </c>
      <c r="I94" s="40" t="inlineStr">
        <is>
          <t>发起删除前校验</t>
        </is>
      </c>
      <c r="J94" s="40" t="inlineStr">
        <is>
          <t>加载目标数据的保留期限和状态</t>
        </is>
      </c>
      <c r="K94" s="40" t="inlineStr">
        <is>
          <t>数据保留期限设置、用户、角色、权限管理（设置角色权限）</t>
        </is>
      </c>
      <c r="L94" s="40" t="inlineStr">
        <is>
          <t>LifecycleManagementService</t>
        </is>
      </c>
      <c r="M94" s="38" t="n">
        <v>0</v>
      </c>
      <c r="N94" s="38" t="n">
        <v>0</v>
      </c>
      <c r="O94" s="38" t="n">
        <v>0.5</v>
      </c>
      <c r="P94" s="38" t="n">
        <v>0</v>
      </c>
      <c r="Q94" s="38" t="n">
        <v>0</v>
      </c>
      <c r="R94" s="38">
        <f>SUM(M94:Q94)</f>
        <v/>
      </c>
      <c r="S94" s="38" t="inlineStr">
        <is>
          <t>未开始</t>
        </is>
      </c>
      <c r="T94" s="38" t="n">
        <v>0</v>
      </c>
      <c r="U94" s="40" t="inlineStr">
        <is>
          <t>根据配置的保留时间校验是否可删</t>
        </is>
      </c>
    </row>
    <row r="95" ht="56" customHeight="1">
      <c r="A95" s="59" t="inlineStr">
        <is>
          <t>ADMIN</t>
        </is>
      </c>
      <c r="B95" s="40" t="inlineStr">
        <is>
          <t>生命周期管理</t>
        </is>
      </c>
      <c r="C95" s="38" t="inlineStr">
        <is>
          <t>22</t>
        </is>
      </c>
      <c r="D95" s="38" t="inlineStr">
        <is>
          <t>1.22.2</t>
        </is>
      </c>
      <c r="E95" s="38" t="inlineStr">
        <is>
          <t>管理员</t>
        </is>
      </c>
      <c r="F95" s="42" t="inlineStr">
        <is>
          <t>P1</t>
        </is>
      </c>
      <c r="G95" s="40" t="inlineStr">
        <is>
          <t>Phase1 · 当前范围</t>
        </is>
      </c>
      <c r="H95" s="40" t="inlineStr">
        <is>
          <t>保留期限校验</t>
        </is>
      </c>
      <c r="I95" s="40" t="inlineStr">
        <is>
          <t>查看校验结果</t>
        </is>
      </c>
      <c r="J95" s="40" t="inlineStr">
        <is>
          <t>展示可删除/不可删除结论及阻断原因</t>
        </is>
      </c>
      <c r="K95" s="40" t="inlineStr">
        <is>
          <t>发起删除前校验</t>
        </is>
      </c>
      <c r="L95" s="40" t="inlineStr">
        <is>
          <t>LifecycleManagementService</t>
        </is>
      </c>
      <c r="M95" s="38" t="n">
        <v>0</v>
      </c>
      <c r="N95" s="38" t="n">
        <v>0</v>
      </c>
      <c r="O95" s="38" t="n">
        <v>0.5</v>
      </c>
      <c r="P95" s="38" t="n">
        <v>0</v>
      </c>
      <c r="Q95" s="38" t="n">
        <v>0</v>
      </c>
      <c r="R95" s="38">
        <f>SUM(M95:Q95)</f>
        <v/>
      </c>
      <c r="S95" s="38" t="inlineStr">
        <is>
          <t>未开始</t>
        </is>
      </c>
      <c r="T95" s="38" t="n">
        <v>0</v>
      </c>
      <c r="U95" s="40" t="inlineStr">
        <is>
          <t>根据配置的保留时间校验是否可删</t>
        </is>
      </c>
    </row>
    <row r="96" ht="56" customHeight="1">
      <c r="A96" s="59" t="inlineStr">
        <is>
          <t>ADMIN</t>
        </is>
      </c>
      <c r="B96" s="40" t="inlineStr">
        <is>
          <t>生命周期管理</t>
        </is>
      </c>
      <c r="C96" s="38" t="inlineStr">
        <is>
          <t>23</t>
        </is>
      </c>
      <c r="D96" s="38" t="inlineStr">
        <is>
          <t>1.23.1</t>
        </is>
      </c>
      <c r="E96" s="38" t="inlineStr">
        <is>
          <t>管理员</t>
        </is>
      </c>
      <c r="F96" s="42" t="inlineStr">
        <is>
          <t>P1</t>
        </is>
      </c>
      <c r="G96" s="40" t="inlineStr">
        <is>
          <t>Phase1 · 当前范围</t>
        </is>
      </c>
      <c r="H96" s="40" t="inlineStr">
        <is>
          <t>数据删除</t>
        </is>
      </c>
      <c r="I96" s="40" t="inlineStr">
        <is>
          <t>选择删除范围</t>
        </is>
      </c>
      <c r="J96" s="40" t="inlineStr">
        <is>
          <t>选择系统、批次或数据范围</t>
        </is>
      </c>
      <c r="K96" s="40" t="inlineStr">
        <is>
          <t>保留期限校验</t>
        </is>
      </c>
      <c r="L96" s="40" t="inlineStr">
        <is>
          <t>LifecycleManagementService</t>
        </is>
      </c>
      <c r="M96" s="38" t="n">
        <v>1</v>
      </c>
      <c r="N96" s="38" t="n">
        <v>1.5</v>
      </c>
      <c r="O96" s="38" t="n">
        <v>2</v>
      </c>
      <c r="P96" s="38" t="n">
        <v>2</v>
      </c>
      <c r="Q96" s="38" t="n">
        <v>2</v>
      </c>
      <c r="R96" s="38">
        <f>SUM(M96:Q96)</f>
        <v/>
      </c>
      <c r="S96" s="38" t="inlineStr">
        <is>
          <t>未开始</t>
        </is>
      </c>
      <c r="T96" s="38" t="n">
        <v>0</v>
      </c>
      <c r="U96" s="40" t="inlineStr">
        <is>
          <t>调用 Databricks Job 执行删除</t>
        </is>
      </c>
    </row>
    <row r="97" ht="56" customHeight="1">
      <c r="A97" s="59" t="inlineStr">
        <is>
          <t>ADMIN</t>
        </is>
      </c>
      <c r="B97" s="40" t="inlineStr">
        <is>
          <t>生命周期管理</t>
        </is>
      </c>
      <c r="C97" s="38" t="inlineStr">
        <is>
          <t>23</t>
        </is>
      </c>
      <c r="D97" s="38" t="inlineStr">
        <is>
          <t>1.23.2</t>
        </is>
      </c>
      <c r="E97" s="38" t="inlineStr">
        <is>
          <t>管理员</t>
        </is>
      </c>
      <c r="F97" s="42" t="inlineStr">
        <is>
          <t>P1</t>
        </is>
      </c>
      <c r="G97" s="40" t="inlineStr">
        <is>
          <t>Phase1 · 当前范围</t>
        </is>
      </c>
      <c r="H97" s="40" t="inlineStr">
        <is>
          <t>数据删除</t>
        </is>
      </c>
      <c r="I97" s="40" t="inlineStr">
        <is>
          <t>预览待删除数据量</t>
        </is>
      </c>
      <c r="J97" s="40" t="inlineStr">
        <is>
          <t>统计待删除数据量并展示影响范围</t>
        </is>
      </c>
      <c r="K97" s="40" t="inlineStr">
        <is>
          <t>选择删除范围</t>
        </is>
      </c>
      <c r="L97" s="40" t="inlineStr">
        <is>
          <t>LifecycleManagementService</t>
        </is>
      </c>
      <c r="M97" s="38" t="n">
        <v>1</v>
      </c>
      <c r="N97" s="38" t="n">
        <v>1.5</v>
      </c>
      <c r="O97" s="38" t="n">
        <v>2</v>
      </c>
      <c r="P97" s="38" t="n">
        <v>2</v>
      </c>
      <c r="Q97" s="38" t="n">
        <v>2</v>
      </c>
      <c r="R97" s="38">
        <f>SUM(M97:Q97)</f>
        <v/>
      </c>
      <c r="S97" s="38" t="inlineStr">
        <is>
          <t>未开始</t>
        </is>
      </c>
      <c r="T97" s="38" t="n">
        <v>0</v>
      </c>
      <c r="U97" s="40" t="inlineStr">
        <is>
          <t>调用 Databricks Job 执行删除</t>
        </is>
      </c>
    </row>
    <row r="98" ht="56" customHeight="1">
      <c r="A98" s="59" t="inlineStr">
        <is>
          <t>ADMIN</t>
        </is>
      </c>
      <c r="B98" s="40" t="inlineStr">
        <is>
          <t>生命周期管理</t>
        </is>
      </c>
      <c r="C98" s="38" t="inlineStr">
        <is>
          <t>23</t>
        </is>
      </c>
      <c r="D98" s="38" t="inlineStr">
        <is>
          <t>1.23.3</t>
        </is>
      </c>
      <c r="E98" s="38" t="inlineStr">
        <is>
          <t>管理员</t>
        </is>
      </c>
      <c r="F98" s="42" t="inlineStr">
        <is>
          <t>P1</t>
        </is>
      </c>
      <c r="G98" s="40" t="inlineStr">
        <is>
          <t>Phase1 · 当前范围</t>
        </is>
      </c>
      <c r="H98" s="40" t="inlineStr">
        <is>
          <t>数据删除</t>
        </is>
      </c>
      <c r="I98" s="40" t="inlineStr">
        <is>
          <t>确认数据删除</t>
        </is>
      </c>
      <c r="J98" s="40" t="inlineStr">
        <is>
          <t>执行二次确认并提交删除任务</t>
        </is>
      </c>
      <c r="K98" s="40" t="inlineStr">
        <is>
          <t>预览待删除数据量</t>
        </is>
      </c>
      <c r="L98" s="40" t="inlineStr">
        <is>
          <t>LifecycleManagementService</t>
        </is>
      </c>
      <c r="M98" s="38" t="n">
        <v>1</v>
      </c>
      <c r="N98" s="38" t="n">
        <v>1.5</v>
      </c>
      <c r="O98" s="38" t="n">
        <v>2</v>
      </c>
      <c r="P98" s="38" t="n">
        <v>2</v>
      </c>
      <c r="Q98" s="38" t="n">
        <v>2</v>
      </c>
      <c r="R98" s="38">
        <f>SUM(M98:Q98)</f>
        <v/>
      </c>
      <c r="S98" s="38" t="inlineStr">
        <is>
          <t>未开始</t>
        </is>
      </c>
      <c r="T98" s="38" t="n">
        <v>0</v>
      </c>
      <c r="U98" s="40" t="inlineStr">
        <is>
          <t>调用 Databricks Job 执行删除</t>
        </is>
      </c>
    </row>
    <row r="99" ht="56" customHeight="1">
      <c r="A99" s="59" t="inlineStr">
        <is>
          <t>ADMIN</t>
        </is>
      </c>
      <c r="B99" s="40" t="inlineStr">
        <is>
          <t>生命周期管理</t>
        </is>
      </c>
      <c r="C99" s="38" t="inlineStr">
        <is>
          <t>23</t>
        </is>
      </c>
      <c r="D99" s="38" t="inlineStr">
        <is>
          <t>1.23.4</t>
        </is>
      </c>
      <c r="E99" s="38" t="inlineStr">
        <is>
          <t>管理员</t>
        </is>
      </c>
      <c r="F99" s="42" t="inlineStr">
        <is>
          <t>P1</t>
        </is>
      </c>
      <c r="G99" s="40" t="inlineStr">
        <is>
          <t>Phase1 · 当前范围</t>
        </is>
      </c>
      <c r="H99" s="40" t="inlineStr">
        <is>
          <t>数据删除</t>
        </is>
      </c>
      <c r="I99" s="40" t="inlineStr">
        <is>
          <t>执行 Databricks 删除 Job</t>
        </is>
      </c>
      <c r="J99" s="40" t="inlineStr">
        <is>
          <t>调用 Job 删除数据并更新状态</t>
        </is>
      </c>
      <c r="K99" s="40" t="inlineStr">
        <is>
          <t>确认数据删除</t>
        </is>
      </c>
      <c r="L99" s="40" t="inlineStr">
        <is>
          <t>LifecycleManagementService</t>
        </is>
      </c>
      <c r="M99" s="38" t="n">
        <v>1</v>
      </c>
      <c r="N99" s="38" t="n">
        <v>1.5</v>
      </c>
      <c r="O99" s="38" t="n">
        <v>2</v>
      </c>
      <c r="P99" s="38" t="n">
        <v>2</v>
      </c>
      <c r="Q99" s="38" t="n">
        <v>2</v>
      </c>
      <c r="R99" s="38">
        <f>SUM(M99:Q99)</f>
        <v/>
      </c>
      <c r="S99" s="38" t="inlineStr">
        <is>
          <t>未开始</t>
        </is>
      </c>
      <c r="T99" s="38" t="n">
        <v>0</v>
      </c>
      <c r="U99" s="40" t="inlineStr">
        <is>
          <t>调用 Databricks Job 执行删除</t>
        </is>
      </c>
    </row>
    <row r="100" ht="56" customHeight="1">
      <c r="A100" s="59" t="inlineStr">
        <is>
          <t>ADMIN</t>
        </is>
      </c>
      <c r="B100" s="40" t="inlineStr">
        <is>
          <t>生命周期管理</t>
        </is>
      </c>
      <c r="C100" s="38" t="inlineStr">
        <is>
          <t>23</t>
        </is>
      </c>
      <c r="D100" s="38" t="inlineStr">
        <is>
          <t>1.23.5</t>
        </is>
      </c>
      <c r="E100" s="38" t="inlineStr">
        <is>
          <t>管理员</t>
        </is>
      </c>
      <c r="F100" s="42" t="inlineStr">
        <is>
          <t>P1</t>
        </is>
      </c>
      <c r="G100" s="40" t="inlineStr">
        <is>
          <t>Phase1 · 当前范围</t>
        </is>
      </c>
      <c r="H100" s="40" t="inlineStr">
        <is>
          <t>数据删除</t>
        </is>
      </c>
      <c r="I100" s="40" t="inlineStr">
        <is>
          <t>查看删除结果</t>
        </is>
      </c>
      <c r="J100" s="40" t="inlineStr">
        <is>
          <t>展示删除成功、失败和日志</t>
        </is>
      </c>
      <c r="K100" s="40" t="inlineStr">
        <is>
          <t>执行 Databricks 删除 Job</t>
        </is>
      </c>
      <c r="L100" s="40" t="inlineStr">
        <is>
          <t>LifecycleManagementService</t>
        </is>
      </c>
      <c r="M100" s="38" t="n">
        <v>1</v>
      </c>
      <c r="N100" s="38" t="n">
        <v>1.5</v>
      </c>
      <c r="O100" s="38" t="n">
        <v>2</v>
      </c>
      <c r="P100" s="38" t="n">
        <v>2</v>
      </c>
      <c r="Q100" s="38" t="n">
        <v>2</v>
      </c>
      <c r="R100" s="38">
        <f>SUM(M100:Q100)</f>
        <v/>
      </c>
      <c r="S100" s="38" t="inlineStr">
        <is>
          <t>未开始</t>
        </is>
      </c>
      <c r="T100" s="38" t="n">
        <v>0</v>
      </c>
      <c r="U100" s="40" t="inlineStr">
        <is>
          <t>调用 Databricks Job 执行删除</t>
        </is>
      </c>
    </row>
    <row r="101" ht="56" customHeight="1">
      <c r="A101" s="59" t="inlineStr">
        <is>
          <t>ADMIN</t>
        </is>
      </c>
      <c r="B101" s="40" t="inlineStr">
        <is>
          <t>生命周期管理</t>
        </is>
      </c>
      <c r="C101" s="38" t="inlineStr">
        <is>
          <t>24</t>
        </is>
      </c>
      <c r="D101" s="38" t="inlineStr">
        <is>
          <t>1.24.1</t>
        </is>
      </c>
      <c r="E101" s="38" t="inlineStr">
        <is>
          <t>管理员</t>
        </is>
      </c>
      <c r="F101" s="42" t="inlineStr">
        <is>
          <t>P1</t>
        </is>
      </c>
      <c r="G101" s="40" t="inlineStr">
        <is>
          <t>Phase1 · 当前范围</t>
        </is>
      </c>
      <c r="H101" s="40" t="inlineStr">
        <is>
          <t>删除提示、删除日志记录</t>
        </is>
      </c>
      <c r="I101" s="40" t="inlineStr">
        <is>
          <t>展示不可恢复提示</t>
        </is>
      </c>
      <c r="J101" s="40" t="inlineStr">
        <is>
          <t>提示删除操作不可恢复及影响范围</t>
        </is>
      </c>
      <c r="K101" s="40" t="inlineStr">
        <is>
          <t>数据删除</t>
        </is>
      </c>
      <c r="L101" s="40" t="inlineStr">
        <is>
          <t>AuditService</t>
        </is>
      </c>
      <c r="M101" s="38" t="n">
        <v>0</v>
      </c>
      <c r="N101" s="38" t="n">
        <v>0.5</v>
      </c>
      <c r="O101" s="38" t="n">
        <v>0.5</v>
      </c>
      <c r="P101" s="38" t="n">
        <v>0</v>
      </c>
      <c r="Q101" s="38" t="n">
        <v>0</v>
      </c>
      <c r="R101" s="38">
        <f>SUM(M101:Q101)</f>
        <v/>
      </c>
      <c r="S101" s="38" t="inlineStr">
        <is>
          <t>未开始</t>
        </is>
      </c>
      <c r="T101" s="38" t="n">
        <v>0</v>
      </c>
      <c r="U101" s="40" t="inlineStr">
        <is>
          <t>多次提醒不可恢复并显示删除数据量</t>
        </is>
      </c>
    </row>
    <row r="102" ht="56" customHeight="1">
      <c r="A102" s="59" t="inlineStr">
        <is>
          <t>ADMIN</t>
        </is>
      </c>
      <c r="B102" s="40" t="inlineStr">
        <is>
          <t>生命周期管理</t>
        </is>
      </c>
      <c r="C102" s="38" t="inlineStr">
        <is>
          <t>24</t>
        </is>
      </c>
      <c r="D102" s="38" t="inlineStr">
        <is>
          <t>1.24.2</t>
        </is>
      </c>
      <c r="E102" s="38" t="inlineStr">
        <is>
          <t>管理员</t>
        </is>
      </c>
      <c r="F102" s="42" t="inlineStr">
        <is>
          <t>P1</t>
        </is>
      </c>
      <c r="G102" s="40" t="inlineStr">
        <is>
          <t>Phase1 · 当前范围</t>
        </is>
      </c>
      <c r="H102" s="40" t="inlineStr">
        <is>
          <t>删除提示、删除日志记录</t>
        </is>
      </c>
      <c r="I102" s="40" t="inlineStr">
        <is>
          <t>确认删除提示</t>
        </is>
      </c>
      <c r="J102" s="40" t="inlineStr">
        <is>
          <t>用户确认继续删除</t>
        </is>
      </c>
      <c r="K102" s="40" t="inlineStr">
        <is>
          <t>展示不可恢复提示</t>
        </is>
      </c>
      <c r="L102" s="40" t="inlineStr">
        <is>
          <t>AuditService</t>
        </is>
      </c>
      <c r="M102" s="38" t="n">
        <v>0</v>
      </c>
      <c r="N102" s="38" t="n">
        <v>0.5</v>
      </c>
      <c r="O102" s="38" t="n">
        <v>0.5</v>
      </c>
      <c r="P102" s="38" t="n">
        <v>0</v>
      </c>
      <c r="Q102" s="38" t="n">
        <v>0</v>
      </c>
      <c r="R102" s="38">
        <f>SUM(M102:Q102)</f>
        <v/>
      </c>
      <c r="S102" s="38" t="inlineStr">
        <is>
          <t>未开始</t>
        </is>
      </c>
      <c r="T102" s="38" t="n">
        <v>0</v>
      </c>
      <c r="U102" s="40" t="inlineStr">
        <is>
          <t>多次提醒不可恢复并显示删除数据量</t>
        </is>
      </c>
    </row>
    <row r="103" ht="56" customHeight="1">
      <c r="A103" s="59" t="inlineStr">
        <is>
          <t>ADMIN</t>
        </is>
      </c>
      <c r="B103" s="40" t="inlineStr">
        <is>
          <t>生命周期管理</t>
        </is>
      </c>
      <c r="C103" s="38" t="inlineStr">
        <is>
          <t>24</t>
        </is>
      </c>
      <c r="D103" s="38" t="inlineStr">
        <is>
          <t>1.24.3</t>
        </is>
      </c>
      <c r="E103" s="38" t="inlineStr">
        <is>
          <t>管理员</t>
        </is>
      </c>
      <c r="F103" s="42" t="inlineStr">
        <is>
          <t>P1</t>
        </is>
      </c>
      <c r="G103" s="40" t="inlineStr">
        <is>
          <t>Phase1 · 当前范围</t>
        </is>
      </c>
      <c r="H103" s="40" t="inlineStr">
        <is>
          <t>删除提示、删除日志记录</t>
        </is>
      </c>
      <c r="I103" s="40" t="inlineStr">
        <is>
          <t>记录删除日志</t>
        </is>
      </c>
      <c r="J103" s="40" t="inlineStr">
        <is>
          <t>记录操作者、范围、数据量和结果</t>
        </is>
      </c>
      <c r="K103" s="40" t="inlineStr">
        <is>
          <t>确认删除提示</t>
        </is>
      </c>
      <c r="L103" s="40" t="inlineStr">
        <is>
          <t>AuditService</t>
        </is>
      </c>
      <c r="M103" s="38" t="n">
        <v>0</v>
      </c>
      <c r="N103" s="38" t="n">
        <v>0.5</v>
      </c>
      <c r="O103" s="38" t="n">
        <v>0.5</v>
      </c>
      <c r="P103" s="38" t="n">
        <v>0</v>
      </c>
      <c r="Q103" s="38" t="n">
        <v>0</v>
      </c>
      <c r="R103" s="38">
        <f>SUM(M103:Q103)</f>
        <v/>
      </c>
      <c r="S103" s="38" t="inlineStr">
        <is>
          <t>未开始</t>
        </is>
      </c>
      <c r="T103" s="38" t="n">
        <v>0</v>
      </c>
      <c r="U103" s="40" t="inlineStr">
        <is>
          <t>多次提醒不可恢复并显示删除数据量</t>
        </is>
      </c>
    </row>
    <row r="104" ht="56" customHeight="1">
      <c r="A104" s="59" t="inlineStr">
        <is>
          <t>ADMIN</t>
        </is>
      </c>
      <c r="B104" s="40" t="inlineStr">
        <is>
          <t>归档系统查询</t>
        </is>
      </c>
      <c r="C104" s="38" t="inlineStr">
        <is>
          <t>25</t>
        </is>
      </c>
      <c r="D104" s="38" t="inlineStr">
        <is>
          <t>1.25.1</t>
        </is>
      </c>
      <c r="E104" s="38" t="inlineStr">
        <is>
          <t>管理员</t>
        </is>
      </c>
      <c r="F104" s="42" t="inlineStr">
        <is>
          <t>P1</t>
        </is>
      </c>
      <c r="G104" s="40" t="inlineStr">
        <is>
          <t>Phase1 · 当前范围</t>
        </is>
      </c>
      <c r="H104" s="40" t="inlineStr">
        <is>
          <t>按系统名称、业务时间查询</t>
        </is>
      </c>
      <c r="I104" s="40" t="inlineStr">
        <is>
          <t>打开归档系统查询</t>
        </is>
      </c>
      <c r="J104" s="40" t="inlineStr">
        <is>
          <t>展示系统名称和业务时间筛选条件</t>
        </is>
      </c>
      <c r="K104" s="40" t="inlineStr">
        <is>
          <t>归档批次管理（UI）</t>
        </is>
      </c>
      <c r="L104" s="40" t="inlineStr">
        <is>
          <t>SourceSystemManagementService</t>
        </is>
      </c>
      <c r="M104" s="38" t="n">
        <v>0.5</v>
      </c>
      <c r="N104" s="38" t="n">
        <v>0.5</v>
      </c>
      <c r="O104" s="38" t="n">
        <v>0.5</v>
      </c>
      <c r="P104" s="38" t="n">
        <v>0</v>
      </c>
      <c r="Q104" s="38" t="n">
        <v>0.5</v>
      </c>
      <c r="R104" s="38">
        <f>SUM(M104:Q104)</f>
        <v/>
      </c>
      <c r="S104" s="38" t="inlineStr">
        <is>
          <t>未开始</t>
        </is>
      </c>
      <c r="T104" s="38" t="n">
        <v>0</v>
      </c>
      <c r="U104" s="40" t="inlineStr">
        <is>
          <t>管理视角：查"归档了哪些系统"</t>
        </is>
      </c>
    </row>
    <row r="105" ht="56" customHeight="1">
      <c r="A105" s="59" t="inlineStr">
        <is>
          <t>ADMIN</t>
        </is>
      </c>
      <c r="B105" s="40" t="inlineStr">
        <is>
          <t>归档系统查询</t>
        </is>
      </c>
      <c r="C105" s="38" t="inlineStr">
        <is>
          <t>25</t>
        </is>
      </c>
      <c r="D105" s="38" t="inlineStr">
        <is>
          <t>1.25.2</t>
        </is>
      </c>
      <c r="E105" s="38" t="inlineStr">
        <is>
          <t>管理员</t>
        </is>
      </c>
      <c r="F105" s="42" t="inlineStr">
        <is>
          <t>P1</t>
        </is>
      </c>
      <c r="G105" s="40" t="inlineStr">
        <is>
          <t>Phase1 · 当前范围</t>
        </is>
      </c>
      <c r="H105" s="40" t="inlineStr">
        <is>
          <t>按系统名称、业务时间查询</t>
        </is>
      </c>
      <c r="I105" s="40" t="inlineStr">
        <is>
          <t>输入查询条件</t>
        </is>
      </c>
      <c r="J105" s="40" t="inlineStr">
        <is>
          <t>输入系统名称、业务时间等条件</t>
        </is>
      </c>
      <c r="K105" s="40" t="inlineStr">
        <is>
          <t>打开归档系统查询</t>
        </is>
      </c>
      <c r="L105" s="40" t="inlineStr">
        <is>
          <t>SourceSystemManagementService</t>
        </is>
      </c>
      <c r="M105" s="38" t="n">
        <v>0.5</v>
      </c>
      <c r="N105" s="38" t="n">
        <v>0.5</v>
      </c>
      <c r="O105" s="38" t="n">
        <v>0.5</v>
      </c>
      <c r="P105" s="38" t="n">
        <v>0</v>
      </c>
      <c r="Q105" s="38" t="n">
        <v>0.5</v>
      </c>
      <c r="R105" s="38">
        <f>SUM(M105:Q105)</f>
        <v/>
      </c>
      <c r="S105" s="38" t="inlineStr">
        <is>
          <t>未开始</t>
        </is>
      </c>
      <c r="T105" s="38" t="n">
        <v>0</v>
      </c>
      <c r="U105" s="40" t="inlineStr">
        <is>
          <t>管理视角：查"归档了哪些系统"</t>
        </is>
      </c>
    </row>
    <row r="106" ht="56" customHeight="1">
      <c r="A106" s="59" t="inlineStr">
        <is>
          <t>ADMIN</t>
        </is>
      </c>
      <c r="B106" s="40" t="inlineStr">
        <is>
          <t>归档系统查询</t>
        </is>
      </c>
      <c r="C106" s="38" t="inlineStr">
        <is>
          <t>25</t>
        </is>
      </c>
      <c r="D106" s="38" t="inlineStr">
        <is>
          <t>1.25.3</t>
        </is>
      </c>
      <c r="E106" s="38" t="inlineStr">
        <is>
          <t>管理员</t>
        </is>
      </c>
      <c r="F106" s="42" t="inlineStr">
        <is>
          <t>P1</t>
        </is>
      </c>
      <c r="G106" s="40" t="inlineStr">
        <is>
          <t>Phase1 · 当前范围</t>
        </is>
      </c>
      <c r="H106" s="40" t="inlineStr">
        <is>
          <t>按系统名称、业务时间查询</t>
        </is>
      </c>
      <c r="I106" s="40" t="inlineStr">
        <is>
          <t>执行查询</t>
        </is>
      </c>
      <c r="J106" s="40" t="inlineStr">
        <is>
          <t>返回匹配的归档系统和批次</t>
        </is>
      </c>
      <c r="K106" s="40" t="inlineStr">
        <is>
          <t>输入查询条件</t>
        </is>
      </c>
      <c r="L106" s="40" t="inlineStr">
        <is>
          <t>SourceSystemManagementService</t>
        </is>
      </c>
      <c r="M106" s="38" t="n">
        <v>0.5</v>
      </c>
      <c r="N106" s="38" t="n">
        <v>0.5</v>
      </c>
      <c r="O106" s="38" t="n">
        <v>0.5</v>
      </c>
      <c r="P106" s="38" t="n">
        <v>0</v>
      </c>
      <c r="Q106" s="38" t="n">
        <v>0.5</v>
      </c>
      <c r="R106" s="38">
        <f>SUM(M106:Q106)</f>
        <v/>
      </c>
      <c r="S106" s="38" t="inlineStr">
        <is>
          <t>未开始</t>
        </is>
      </c>
      <c r="T106" s="38" t="n">
        <v>0</v>
      </c>
      <c r="U106" s="40" t="inlineStr">
        <is>
          <t>管理视角：查"归档了哪些系统"</t>
        </is>
      </c>
    </row>
    <row r="107" ht="56" customHeight="1">
      <c r="A107" s="59" t="inlineStr">
        <is>
          <t>ADMIN</t>
        </is>
      </c>
      <c r="B107" s="40" t="inlineStr">
        <is>
          <t>归档系统查询</t>
        </is>
      </c>
      <c r="C107" s="38" t="inlineStr">
        <is>
          <t>26</t>
        </is>
      </c>
      <c r="D107" s="38" t="inlineStr">
        <is>
          <t>1.26.1</t>
        </is>
      </c>
      <c r="E107" s="38" t="inlineStr">
        <is>
          <t>管理员</t>
        </is>
      </c>
      <c r="F107" s="42" t="inlineStr">
        <is>
          <t>P1</t>
        </is>
      </c>
      <c r="G107" s="40" t="inlineStr">
        <is>
          <t>Phase1 · 当前范围</t>
        </is>
      </c>
      <c r="H107" s="40" t="inlineStr">
        <is>
          <t>归档批次展示</t>
        </is>
      </c>
      <c r="I107" s="40" t="inlineStr">
        <is>
          <t>打开归档批次列表</t>
        </is>
      </c>
      <c r="J107" s="40" t="inlineStr">
        <is>
          <t>展示归档批次及状态</t>
        </is>
      </c>
      <c r="K107" s="40" t="inlineStr">
        <is>
          <t>按系统名称、业务时间查询</t>
        </is>
      </c>
      <c r="L107" s="40" t="inlineStr">
        <is>
          <t>SourceSystemManagementService</t>
        </is>
      </c>
      <c r="M107" s="38" t="n">
        <v>0</v>
      </c>
      <c r="N107" s="38" t="n">
        <v>0.5</v>
      </c>
      <c r="O107" s="38" t="n">
        <v>0.5</v>
      </c>
      <c r="P107" s="38" t="n">
        <v>0</v>
      </c>
      <c r="Q107" s="38" t="n">
        <v>0</v>
      </c>
      <c r="R107" s="38">
        <f>SUM(M107:Q107)</f>
        <v/>
      </c>
      <c r="S107" s="38" t="inlineStr">
        <is>
          <t>未开始</t>
        </is>
      </c>
      <c r="T107" s="38" t="n">
        <v>0</v>
      </c>
      <c r="U107" s="40" t="n"/>
    </row>
    <row r="108" ht="56" customHeight="1">
      <c r="A108" s="59" t="inlineStr">
        <is>
          <t>ADMIN</t>
        </is>
      </c>
      <c r="B108" s="40" t="inlineStr">
        <is>
          <t>归档系统查询</t>
        </is>
      </c>
      <c r="C108" s="38" t="inlineStr">
        <is>
          <t>26</t>
        </is>
      </c>
      <c r="D108" s="38" t="inlineStr">
        <is>
          <t>1.26.2</t>
        </is>
      </c>
      <c r="E108" s="38" t="inlineStr">
        <is>
          <t>管理员</t>
        </is>
      </c>
      <c r="F108" s="42" t="inlineStr">
        <is>
          <t>P1</t>
        </is>
      </c>
      <c r="G108" s="40" t="inlineStr">
        <is>
          <t>Phase1 · 当前范围</t>
        </is>
      </c>
      <c r="H108" s="40" t="inlineStr">
        <is>
          <t>归档批次展示</t>
        </is>
      </c>
      <c r="I108" s="40" t="inlineStr">
        <is>
          <t>查看批次概览</t>
        </is>
      </c>
      <c r="J108" s="40" t="inlineStr">
        <is>
          <t>展示批次时间、范围和结果入口</t>
        </is>
      </c>
      <c r="K108" s="40" t="inlineStr">
        <is>
          <t>打开归档批次列表</t>
        </is>
      </c>
      <c r="L108" s="40" t="inlineStr">
        <is>
          <t>SourceSystemManagementService</t>
        </is>
      </c>
      <c r="M108" s="38" t="n">
        <v>0</v>
      </c>
      <c r="N108" s="38" t="n">
        <v>0.5</v>
      </c>
      <c r="O108" s="38" t="n">
        <v>0.5</v>
      </c>
      <c r="P108" s="38" t="n">
        <v>0</v>
      </c>
      <c r="Q108" s="38" t="n">
        <v>0</v>
      </c>
      <c r="R108" s="38">
        <f>SUM(M108:Q108)</f>
        <v/>
      </c>
      <c r="S108" s="38" t="inlineStr">
        <is>
          <t>未开始</t>
        </is>
      </c>
      <c r="T108" s="38" t="n">
        <v>0</v>
      </c>
      <c r="U108" s="40" t="n"/>
    </row>
    <row r="109" ht="56" customHeight="1">
      <c r="A109" s="59" t="inlineStr">
        <is>
          <t>ADMIN</t>
        </is>
      </c>
      <c r="B109" s="40" t="inlineStr">
        <is>
          <t>归档系统查询</t>
        </is>
      </c>
      <c r="C109" s="38" t="inlineStr">
        <is>
          <t>27</t>
        </is>
      </c>
      <c r="D109" s="38" t="inlineStr">
        <is>
          <t>1.27.1</t>
        </is>
      </c>
      <c r="E109" s="38" t="inlineStr">
        <is>
          <t>管理员</t>
        </is>
      </c>
      <c r="F109" s="42" t="inlineStr">
        <is>
          <t>P1</t>
        </is>
      </c>
      <c r="G109" s="40" t="inlineStr">
        <is>
          <t>Phase1 · 当前范围</t>
        </is>
      </c>
      <c r="H109" s="40" t="inlineStr">
        <is>
          <t>表结构查询</t>
        </is>
      </c>
      <c r="I109" s="40" t="inlineStr">
        <is>
          <t>打开表结构查询</t>
        </is>
      </c>
      <c r="J109" s="40" t="inlineStr">
        <is>
          <t>展示已归档系统和表清单</t>
        </is>
      </c>
      <c r="K109" s="40" t="inlineStr">
        <is>
          <t>拉取源数据库表结构</t>
        </is>
      </c>
      <c r="L109" s="40" t="inlineStr">
        <is>
          <t>SourceSystemManagementService</t>
        </is>
      </c>
      <c r="M109" s="38" t="n">
        <v>0</v>
      </c>
      <c r="N109" s="38" t="n">
        <v>0.5</v>
      </c>
      <c r="O109" s="38" t="n">
        <v>0.5</v>
      </c>
      <c r="P109" s="38" t="n">
        <v>0</v>
      </c>
      <c r="Q109" s="38" t="n">
        <v>0</v>
      </c>
      <c r="R109" s="38">
        <f>SUM(M109:Q109)</f>
        <v/>
      </c>
      <c r="S109" s="38" t="inlineStr">
        <is>
          <t>未开始</t>
        </is>
      </c>
      <c r="T109" s="38" t="n">
        <v>0</v>
      </c>
      <c r="U109" s="40" t="n"/>
    </row>
    <row r="110" ht="56" customHeight="1">
      <c r="A110" s="59" t="inlineStr">
        <is>
          <t>ADMIN</t>
        </is>
      </c>
      <c r="B110" s="40" t="inlineStr">
        <is>
          <t>归档系统查询</t>
        </is>
      </c>
      <c r="C110" s="38" t="inlineStr">
        <is>
          <t>27</t>
        </is>
      </c>
      <c r="D110" s="38" t="inlineStr">
        <is>
          <t>1.27.2</t>
        </is>
      </c>
      <c r="E110" s="38" t="inlineStr">
        <is>
          <t>管理员</t>
        </is>
      </c>
      <c r="F110" s="42" t="inlineStr">
        <is>
          <t>P1</t>
        </is>
      </c>
      <c r="G110" s="40" t="inlineStr">
        <is>
          <t>Phase1 · 当前范围</t>
        </is>
      </c>
      <c r="H110" s="40" t="inlineStr">
        <is>
          <t>表结构查询</t>
        </is>
      </c>
      <c r="I110" s="40" t="inlineStr">
        <is>
          <t>选择归档表</t>
        </is>
      </c>
      <c r="J110" s="40" t="inlineStr">
        <is>
          <t>加载表字段和数据类型</t>
        </is>
      </c>
      <c r="K110" s="40" t="inlineStr">
        <is>
          <t>打开表结构查询</t>
        </is>
      </c>
      <c r="L110" s="40" t="inlineStr">
        <is>
          <t>SourceSystemManagementService</t>
        </is>
      </c>
      <c r="M110" s="38" t="n">
        <v>0</v>
      </c>
      <c r="N110" s="38" t="n">
        <v>0.5</v>
      </c>
      <c r="O110" s="38" t="n">
        <v>0.5</v>
      </c>
      <c r="P110" s="38" t="n">
        <v>0</v>
      </c>
      <c r="Q110" s="38" t="n">
        <v>0</v>
      </c>
      <c r="R110" s="38">
        <f>SUM(M110:Q110)</f>
        <v/>
      </c>
      <c r="S110" s="38" t="inlineStr">
        <is>
          <t>未开始</t>
        </is>
      </c>
      <c r="T110" s="38" t="n">
        <v>0</v>
      </c>
      <c r="U110" s="40" t="n"/>
    </row>
    <row r="111" ht="56" customHeight="1">
      <c r="A111" s="59" t="inlineStr">
        <is>
          <t>ADMIN</t>
        </is>
      </c>
      <c r="B111" s="40" t="inlineStr">
        <is>
          <t>归档系统查询</t>
        </is>
      </c>
      <c r="C111" s="38" t="inlineStr">
        <is>
          <t>27</t>
        </is>
      </c>
      <c r="D111" s="38" t="inlineStr">
        <is>
          <t>1.27.3</t>
        </is>
      </c>
      <c r="E111" s="38" t="inlineStr">
        <is>
          <t>管理员</t>
        </is>
      </c>
      <c r="F111" s="42" t="inlineStr">
        <is>
          <t>P1</t>
        </is>
      </c>
      <c r="G111" s="40" t="inlineStr">
        <is>
          <t>Phase1 · 当前范围</t>
        </is>
      </c>
      <c r="H111" s="40" t="inlineStr">
        <is>
          <t>表结构查询</t>
        </is>
      </c>
      <c r="I111" s="40" t="inlineStr">
        <is>
          <t>查看字段结构</t>
        </is>
      </c>
      <c r="J111" s="40" t="inlineStr">
        <is>
          <t>展示字段名称、类型及敏感标识</t>
        </is>
      </c>
      <c r="K111" s="40" t="inlineStr">
        <is>
          <t>选择归档表</t>
        </is>
      </c>
      <c r="L111" s="40" t="inlineStr">
        <is>
          <t>SourceSystemManagementService</t>
        </is>
      </c>
      <c r="M111" s="38" t="n">
        <v>0</v>
      </c>
      <c r="N111" s="38" t="n">
        <v>0.5</v>
      </c>
      <c r="O111" s="38" t="n">
        <v>0.5</v>
      </c>
      <c r="P111" s="38" t="n">
        <v>0</v>
      </c>
      <c r="Q111" s="38" t="n">
        <v>0</v>
      </c>
      <c r="R111" s="38">
        <f>SUM(M111:Q111)</f>
        <v/>
      </c>
      <c r="S111" s="38" t="inlineStr">
        <is>
          <t>未开始</t>
        </is>
      </c>
      <c r="T111" s="38" t="n">
        <v>0</v>
      </c>
      <c r="U111" s="40" t="n"/>
    </row>
    <row r="112" ht="56" customHeight="1">
      <c r="A112" s="59" t="inlineStr">
        <is>
          <t>ADMIN</t>
        </is>
      </c>
      <c r="B112" s="40" t="inlineStr">
        <is>
          <t>日志查询</t>
        </is>
      </c>
      <c r="C112" s="38" t="inlineStr">
        <is>
          <t>28</t>
        </is>
      </c>
      <c r="D112" s="38" t="inlineStr">
        <is>
          <t>1.28.1</t>
        </is>
      </c>
      <c r="E112" s="38" t="inlineStr">
        <is>
          <t>管理员</t>
        </is>
      </c>
      <c r="F112" s="42" t="inlineStr">
        <is>
          <t>P1</t>
        </is>
      </c>
      <c r="G112" s="40" t="inlineStr">
        <is>
          <t>Phase1 · 当前范围</t>
        </is>
      </c>
      <c r="H112" s="40" t="inlineStr">
        <is>
          <t>查询日志</t>
        </is>
      </c>
      <c r="I112" s="40" t="inlineStr">
        <is>
          <t>打开日志查询</t>
        </is>
      </c>
      <c r="J112" s="40" t="inlineStr">
        <is>
          <t>展示查询和操作日志筛选入口</t>
        </is>
      </c>
      <c r="K112" s="40" t="inlineStr">
        <is>
          <t>企业 SSO 集成</t>
        </is>
      </c>
      <c r="L112" s="40" t="inlineStr">
        <is>
          <t>AuditService</t>
        </is>
      </c>
      <c r="M112" s="38" t="n">
        <v>0</v>
      </c>
      <c r="N112" s="38" t="n">
        <v>0.5</v>
      </c>
      <c r="O112" s="38" t="n">
        <v>0.5</v>
      </c>
      <c r="P112" s="38" t="n">
        <v>0</v>
      </c>
      <c r="Q112" s="38" t="n">
        <v>0</v>
      </c>
      <c r="R112" s="38">
        <f>SUM(M112:Q112)</f>
        <v/>
      </c>
      <c r="S112" s="38" t="inlineStr">
        <is>
          <t>未开始</t>
        </is>
      </c>
      <c r="T112" s="38" t="n">
        <v>0</v>
      </c>
      <c r="U112" s="40" t="inlineStr">
        <is>
          <t>查询行为日志（与 E2 查询联动记录）</t>
        </is>
      </c>
    </row>
    <row r="113" ht="56" customHeight="1">
      <c r="A113" s="59" t="inlineStr">
        <is>
          <t>ADMIN</t>
        </is>
      </c>
      <c r="B113" s="40" t="inlineStr">
        <is>
          <t>日志查询</t>
        </is>
      </c>
      <c r="C113" s="38" t="inlineStr">
        <is>
          <t>28</t>
        </is>
      </c>
      <c r="D113" s="38" t="inlineStr">
        <is>
          <t>1.28.2</t>
        </is>
      </c>
      <c r="E113" s="38" t="inlineStr">
        <is>
          <t>管理员</t>
        </is>
      </c>
      <c r="F113" s="42" t="inlineStr">
        <is>
          <t>P1</t>
        </is>
      </c>
      <c r="G113" s="40" t="inlineStr">
        <is>
          <t>Phase1 · 当前范围</t>
        </is>
      </c>
      <c r="H113" s="40" t="inlineStr">
        <is>
          <t>查询日志</t>
        </is>
      </c>
      <c r="I113" s="40" t="inlineStr">
        <is>
          <t>筛选日志</t>
        </is>
      </c>
      <c r="J113" s="40" t="inlineStr">
        <is>
          <t>按用户、时间、系统和操作类型筛选</t>
        </is>
      </c>
      <c r="K113" s="40" t="inlineStr">
        <is>
          <t>打开日志查询</t>
        </is>
      </c>
      <c r="L113" s="40" t="inlineStr">
        <is>
          <t>AuditService</t>
        </is>
      </c>
      <c r="M113" s="38" t="n">
        <v>0</v>
      </c>
      <c r="N113" s="38" t="n">
        <v>0.5</v>
      </c>
      <c r="O113" s="38" t="n">
        <v>0.5</v>
      </c>
      <c r="P113" s="38" t="n">
        <v>0</v>
      </c>
      <c r="Q113" s="38" t="n">
        <v>0</v>
      </c>
      <c r="R113" s="38">
        <f>SUM(M113:Q113)</f>
        <v/>
      </c>
      <c r="S113" s="38" t="inlineStr">
        <is>
          <t>未开始</t>
        </is>
      </c>
      <c r="T113" s="38" t="n">
        <v>0</v>
      </c>
      <c r="U113" s="40" t="inlineStr">
        <is>
          <t>查询行为日志（与 E2 查询联动记录）</t>
        </is>
      </c>
    </row>
    <row r="114" ht="56" customHeight="1">
      <c r="A114" s="59" t="inlineStr">
        <is>
          <t>ADMIN</t>
        </is>
      </c>
      <c r="B114" s="40" t="inlineStr">
        <is>
          <t>日志查询</t>
        </is>
      </c>
      <c r="C114" s="38" t="inlineStr">
        <is>
          <t>28</t>
        </is>
      </c>
      <c r="D114" s="38" t="inlineStr">
        <is>
          <t>1.28.3</t>
        </is>
      </c>
      <c r="E114" s="38" t="inlineStr">
        <is>
          <t>管理员</t>
        </is>
      </c>
      <c r="F114" s="42" t="inlineStr">
        <is>
          <t>P1</t>
        </is>
      </c>
      <c r="G114" s="40" t="inlineStr">
        <is>
          <t>Phase1 · 当前范围</t>
        </is>
      </c>
      <c r="H114" s="40" t="inlineStr">
        <is>
          <t>查询日志</t>
        </is>
      </c>
      <c r="I114" s="40" t="inlineStr">
        <is>
          <t>查看日志详情</t>
        </is>
      </c>
      <c r="J114" s="40" t="inlineStr">
        <is>
          <t>展示查询、导出及管理操作明细</t>
        </is>
      </c>
      <c r="K114" s="40" t="inlineStr">
        <is>
          <t>筛选日志</t>
        </is>
      </c>
      <c r="L114" s="40" t="inlineStr">
        <is>
          <t>AuditService</t>
        </is>
      </c>
      <c r="M114" s="38" t="n">
        <v>0</v>
      </c>
      <c r="N114" s="38" t="n">
        <v>0.5</v>
      </c>
      <c r="O114" s="38" t="n">
        <v>0.5</v>
      </c>
      <c r="P114" s="38" t="n">
        <v>0</v>
      </c>
      <c r="Q114" s="38" t="n">
        <v>0</v>
      </c>
      <c r="R114" s="38">
        <f>SUM(M114:Q114)</f>
        <v/>
      </c>
      <c r="S114" s="38" t="inlineStr">
        <is>
          <t>未开始</t>
        </is>
      </c>
      <c r="T114" s="38" t="n">
        <v>0</v>
      </c>
      <c r="U114" s="40" t="inlineStr">
        <is>
          <t>查询行为日志（与 E2 查询联动记录）</t>
        </is>
      </c>
    </row>
    <row r="115" ht="56" customHeight="1">
      <c r="A115" s="60" t="inlineStr">
        <is>
          <t>End User</t>
        </is>
      </c>
      <c r="B115" s="44" t="inlineStr">
        <is>
          <t>登录</t>
        </is>
      </c>
      <c r="C115" s="38" t="inlineStr">
        <is>
          <t>1</t>
        </is>
      </c>
      <c r="D115" s="38" t="inlineStr">
        <is>
          <t>2.29.1</t>
        </is>
      </c>
      <c r="E115" s="38" t="inlineStr">
        <is>
          <t>终端用户</t>
        </is>
      </c>
      <c r="F115" s="41" t="inlineStr">
        <is>
          <t>P0</t>
        </is>
      </c>
      <c r="G115" s="40" t="inlineStr">
        <is>
          <t>Phase1 · 当前范围</t>
        </is>
      </c>
      <c r="H115" s="40" t="inlineStr">
        <is>
          <t>登录（复用 ADMIN SSO）</t>
        </is>
      </c>
      <c r="I115" s="40" t="inlineStr">
        <is>
          <t>打开终端用户登录页</t>
        </is>
      </c>
      <c r="J115" s="40" t="inlineStr">
        <is>
          <t>展示企业 SSO 登录入口</t>
        </is>
      </c>
      <c r="K115" s="40" t="inlineStr">
        <is>
          <t>—</t>
        </is>
      </c>
      <c r="L115" s="40" t="inlineStr">
        <is>
          <t>AuthManagementService</t>
        </is>
      </c>
      <c r="M115" s="38" t="n">
        <v>0</v>
      </c>
      <c r="N115" s="38" t="n">
        <v>0</v>
      </c>
      <c r="O115" s="38" t="n">
        <v>0</v>
      </c>
      <c r="P115" s="38" t="n">
        <v>0</v>
      </c>
      <c r="Q115" s="38" t="n">
        <v>0</v>
      </c>
      <c r="R115" s="38">
        <f>SUM(M115:Q115)</f>
        <v/>
      </c>
      <c r="S115" s="38" t="inlineStr">
        <is>
          <t>未开始</t>
        </is>
      </c>
      <c r="T115" s="38" t="n">
        <v>0</v>
      </c>
      <c r="U115" s="40" t="inlineStr">
        <is>
          <t>SSO 集成已计入 ADMIN 步骤 1</t>
        </is>
      </c>
    </row>
    <row r="116" ht="56" customHeight="1">
      <c r="A116" s="60" t="inlineStr">
        <is>
          <t>End User</t>
        </is>
      </c>
      <c r="B116" s="44" t="inlineStr">
        <is>
          <t>登录</t>
        </is>
      </c>
      <c r="C116" s="38" t="inlineStr">
        <is>
          <t>1</t>
        </is>
      </c>
      <c r="D116" s="38" t="inlineStr">
        <is>
          <t>2.29.2</t>
        </is>
      </c>
      <c r="E116" s="38" t="inlineStr">
        <is>
          <t>终端用户</t>
        </is>
      </c>
      <c r="F116" s="41" t="inlineStr">
        <is>
          <t>P0</t>
        </is>
      </c>
      <c r="G116" s="40" t="inlineStr">
        <is>
          <t>Phase1 · 当前范围</t>
        </is>
      </c>
      <c r="H116" s="40" t="inlineStr">
        <is>
          <t>登录（复用 ADMIN SSO）</t>
        </is>
      </c>
      <c r="I116" s="40" t="inlineStr">
        <is>
          <t>完成 SSO 登录</t>
        </is>
      </c>
      <c r="J116" s="40" t="inlineStr">
        <is>
          <t>复用 ADMIN SSO 会话并加载查询菜单</t>
        </is>
      </c>
      <c r="K116" s="40" t="inlineStr">
        <is>
          <t>打开终端用户登录页</t>
        </is>
      </c>
      <c r="L116" s="40" t="inlineStr">
        <is>
          <t>AuthManagementService</t>
        </is>
      </c>
      <c r="M116" s="38" t="n">
        <v>0</v>
      </c>
      <c r="N116" s="38" t="n">
        <v>0</v>
      </c>
      <c r="O116" s="38" t="n">
        <v>0</v>
      </c>
      <c r="P116" s="38" t="n">
        <v>0</v>
      </c>
      <c r="Q116" s="38" t="n">
        <v>0</v>
      </c>
      <c r="R116" s="38">
        <f>SUM(M116:Q116)</f>
        <v/>
      </c>
      <c r="S116" s="38" t="inlineStr">
        <is>
          <t>未开始</t>
        </is>
      </c>
      <c r="T116" s="38" t="n">
        <v>0</v>
      </c>
      <c r="U116" s="40" t="inlineStr">
        <is>
          <t>SSO 集成已计入 ADMIN 步骤 1</t>
        </is>
      </c>
    </row>
    <row r="117" ht="56" customHeight="1">
      <c r="A117" s="60" t="inlineStr">
        <is>
          <t>End User</t>
        </is>
      </c>
      <c r="B117" s="44" t="inlineStr">
        <is>
          <t>归档数据查询</t>
        </is>
      </c>
      <c r="C117" s="38" t="inlineStr">
        <is>
          <t>2</t>
        </is>
      </c>
      <c r="D117" s="38" t="inlineStr">
        <is>
          <t>2.30.1</t>
        </is>
      </c>
      <c r="E117" s="38" t="inlineStr">
        <is>
          <t>终端用户</t>
        </is>
      </c>
      <c r="F117" s="41" t="inlineStr">
        <is>
          <t>P0</t>
        </is>
      </c>
      <c r="G117" s="40" t="inlineStr">
        <is>
          <t>Phase1 · 当前范围</t>
        </is>
      </c>
      <c r="H117" s="40" t="inlineStr">
        <is>
          <t>列表展示（按已配置的 Dynamic Query）</t>
        </is>
      </c>
      <c r="I117" s="40" t="inlineStr">
        <is>
          <t>打开归档数据查询</t>
        </is>
      </c>
      <c r="J117" s="40" t="inlineStr">
        <is>
          <t>展示管理员发布的 Dynamic Query 页面</t>
        </is>
      </c>
      <c r="K117" s="40" t="inlineStr">
        <is>
          <t>登录（复用 ADMIN SSO）</t>
        </is>
      </c>
      <c r="L117" s="40" t="inlineStr">
        <is>
          <t>ArchiveQueryService</t>
        </is>
      </c>
      <c r="M117" s="38" t="n">
        <v>0</v>
      </c>
      <c r="N117" s="38" t="n">
        <v>1</v>
      </c>
      <c r="O117" s="38" t="n">
        <v>1</v>
      </c>
      <c r="P117" s="38" t="n">
        <v>1</v>
      </c>
      <c r="Q117" s="38" t="n">
        <v>0</v>
      </c>
      <c r="R117" s="38">
        <f>SUM(M117:Q117)</f>
        <v/>
      </c>
      <c r="S117" s="38" t="inlineStr">
        <is>
          <t>未开始</t>
        </is>
      </c>
      <c r="T117" s="38" t="n">
        <v>0</v>
      </c>
      <c r="U117" s="40" t="inlineStr">
        <is>
          <t>使用管理员配置的查询范围</t>
        </is>
      </c>
    </row>
    <row r="118" ht="56" customHeight="1">
      <c r="A118" s="60" t="inlineStr">
        <is>
          <t>End User</t>
        </is>
      </c>
      <c r="B118" s="44" t="inlineStr">
        <is>
          <t>归档数据查询</t>
        </is>
      </c>
      <c r="C118" s="38" t="inlineStr">
        <is>
          <t>2</t>
        </is>
      </c>
      <c r="D118" s="38" t="inlineStr">
        <is>
          <t>2.30.2</t>
        </is>
      </c>
      <c r="E118" s="38" t="inlineStr">
        <is>
          <t>终端用户</t>
        </is>
      </c>
      <c r="F118" s="41" t="inlineStr">
        <is>
          <t>P0</t>
        </is>
      </c>
      <c r="G118" s="40" t="inlineStr">
        <is>
          <t>Phase1 · 当前范围</t>
        </is>
      </c>
      <c r="H118" s="40" t="inlineStr">
        <is>
          <t>列表展示（按已配置的 Dynamic Query）</t>
        </is>
      </c>
      <c r="I118" s="40" t="inlineStr">
        <is>
          <t>选择查询条件</t>
        </is>
      </c>
      <c r="J118" s="40" t="inlineStr">
        <is>
          <t>输入系统、时间及业务筛选条件</t>
        </is>
      </c>
      <c r="K118" s="40" t="inlineStr">
        <is>
          <t>打开归档数据查询</t>
        </is>
      </c>
      <c r="L118" s="40" t="inlineStr">
        <is>
          <t>ArchiveQueryService</t>
        </is>
      </c>
      <c r="M118" s="38" t="n">
        <v>0</v>
      </c>
      <c r="N118" s="38" t="n">
        <v>1</v>
      </c>
      <c r="O118" s="38" t="n">
        <v>1</v>
      </c>
      <c r="P118" s="38" t="n">
        <v>1</v>
      </c>
      <c r="Q118" s="38" t="n">
        <v>0</v>
      </c>
      <c r="R118" s="38">
        <f>SUM(M118:Q118)</f>
        <v/>
      </c>
      <c r="S118" s="38" t="inlineStr">
        <is>
          <t>未开始</t>
        </is>
      </c>
      <c r="T118" s="38" t="n">
        <v>0</v>
      </c>
      <c r="U118" s="40" t="inlineStr">
        <is>
          <t>使用管理员配置的查询范围</t>
        </is>
      </c>
    </row>
    <row r="119" ht="56" customHeight="1">
      <c r="A119" s="60" t="inlineStr">
        <is>
          <t>End User</t>
        </is>
      </c>
      <c r="B119" s="44" t="inlineStr">
        <is>
          <t>归档数据查询</t>
        </is>
      </c>
      <c r="C119" s="38" t="inlineStr">
        <is>
          <t>2</t>
        </is>
      </c>
      <c r="D119" s="38" t="inlineStr">
        <is>
          <t>2.30.3</t>
        </is>
      </c>
      <c r="E119" s="38" t="inlineStr">
        <is>
          <t>终端用户</t>
        </is>
      </c>
      <c r="F119" s="41" t="inlineStr">
        <is>
          <t>P0</t>
        </is>
      </c>
      <c r="G119" s="40" t="inlineStr">
        <is>
          <t>Phase1 · 当前范围</t>
        </is>
      </c>
      <c r="H119" s="40" t="inlineStr">
        <is>
          <t>列表展示（按已配置的 Dynamic Query）</t>
        </is>
      </c>
      <c r="I119" s="40" t="inlineStr">
        <is>
          <t>执行归档数据查询</t>
        </is>
      </c>
      <c r="J119" s="40" t="inlineStr">
        <is>
          <t>按查询配置和数据权限返回分页列表</t>
        </is>
      </c>
      <c r="K119" s="40" t="inlineStr">
        <is>
          <t>选择查询条件</t>
        </is>
      </c>
      <c r="L119" s="40" t="inlineStr">
        <is>
          <t>ArchiveQueryService</t>
        </is>
      </c>
      <c r="M119" s="38" t="n">
        <v>0</v>
      </c>
      <c r="N119" s="38" t="n">
        <v>1</v>
      </c>
      <c r="O119" s="38" t="n">
        <v>1</v>
      </c>
      <c r="P119" s="38" t="n">
        <v>1</v>
      </c>
      <c r="Q119" s="38" t="n">
        <v>0</v>
      </c>
      <c r="R119" s="38">
        <f>SUM(M119:Q119)</f>
        <v/>
      </c>
      <c r="S119" s="38" t="inlineStr">
        <is>
          <t>未开始</t>
        </is>
      </c>
      <c r="T119" s="38" t="n">
        <v>0</v>
      </c>
      <c r="U119" s="40" t="inlineStr">
        <is>
          <t>使用管理员配置的查询范围</t>
        </is>
      </c>
    </row>
    <row r="120" ht="56" customHeight="1">
      <c r="A120" s="60" t="inlineStr">
        <is>
          <t>End User</t>
        </is>
      </c>
      <c r="B120" s="44" t="inlineStr">
        <is>
          <t>归档数据查询</t>
        </is>
      </c>
      <c r="C120" s="38" t="inlineStr">
        <is>
          <t>2</t>
        </is>
      </c>
      <c r="D120" s="38" t="inlineStr">
        <is>
          <t>2.30.4</t>
        </is>
      </c>
      <c r="E120" s="38" t="inlineStr">
        <is>
          <t>终端用户</t>
        </is>
      </c>
      <c r="F120" s="41" t="inlineStr">
        <is>
          <t>P0</t>
        </is>
      </c>
      <c r="G120" s="40" t="inlineStr">
        <is>
          <t>Phase1 · 当前范围</t>
        </is>
      </c>
      <c r="H120" s="40" t="inlineStr">
        <is>
          <t>列表展示（按已配置的 Dynamic Query）</t>
        </is>
      </c>
      <c r="I120" s="40" t="inlineStr">
        <is>
          <t>分页/排序列表</t>
        </is>
      </c>
      <c r="J120" s="40" t="inlineStr">
        <is>
          <t>对结果进行分页、排序和刷新</t>
        </is>
      </c>
      <c r="K120" s="40" t="inlineStr">
        <is>
          <t>执行归档数据查询</t>
        </is>
      </c>
      <c r="L120" s="40" t="inlineStr">
        <is>
          <t>ArchiveQueryService</t>
        </is>
      </c>
      <c r="M120" s="38" t="n">
        <v>0</v>
      </c>
      <c r="N120" s="38" t="n">
        <v>1</v>
      </c>
      <c r="O120" s="38" t="n">
        <v>1</v>
      </c>
      <c r="P120" s="38" t="n">
        <v>1</v>
      </c>
      <c r="Q120" s="38" t="n">
        <v>0</v>
      </c>
      <c r="R120" s="38">
        <f>SUM(M120:Q120)</f>
        <v/>
      </c>
      <c r="S120" s="38" t="inlineStr">
        <is>
          <t>未开始</t>
        </is>
      </c>
      <c r="T120" s="38" t="n">
        <v>0</v>
      </c>
      <c r="U120" s="40" t="inlineStr">
        <is>
          <t>使用管理员配置的查询范围</t>
        </is>
      </c>
    </row>
    <row r="121" ht="56" customHeight="1">
      <c r="A121" s="60" t="inlineStr">
        <is>
          <t>End User</t>
        </is>
      </c>
      <c r="B121" s="44" t="inlineStr">
        <is>
          <t>归档数据查询</t>
        </is>
      </c>
      <c r="C121" s="38" t="inlineStr">
        <is>
          <t>3</t>
        </is>
      </c>
      <c r="D121" s="38" t="inlineStr">
        <is>
          <t>2.31.1</t>
        </is>
      </c>
      <c r="E121" s="38" t="inlineStr">
        <is>
          <t>终端用户</t>
        </is>
      </c>
      <c r="F121" s="41" t="inlineStr">
        <is>
          <t>P0</t>
        </is>
      </c>
      <c r="G121" s="40" t="inlineStr">
        <is>
          <t>Phase1 · 当前范围</t>
        </is>
      </c>
      <c r="H121" s="40" t="inlineStr">
        <is>
          <t>详情展示</t>
        </is>
      </c>
      <c r="I121" s="40" t="inlineStr">
        <is>
          <t>选择归档记录</t>
        </is>
      </c>
      <c r="J121" s="40" t="inlineStr">
        <is>
          <t>从列表中点击目标记录</t>
        </is>
      </c>
      <c r="K121" s="40" t="inlineStr">
        <is>
          <t>列表展示（按已配置的 Dynamic Query）</t>
        </is>
      </c>
      <c r="L121" s="40" t="inlineStr">
        <is>
          <t>ArchiveQueryService</t>
        </is>
      </c>
      <c r="M121" s="38" t="n">
        <v>0</v>
      </c>
      <c r="N121" s="38" t="n">
        <v>1</v>
      </c>
      <c r="O121" s="38" t="n">
        <v>1</v>
      </c>
      <c r="P121" s="38" t="n">
        <v>1</v>
      </c>
      <c r="Q121" s="38" t="n">
        <v>0</v>
      </c>
      <c r="R121" s="38">
        <f>SUM(M121:Q121)</f>
        <v/>
      </c>
      <c r="S121" s="38" t="inlineStr">
        <is>
          <t>未开始</t>
        </is>
      </c>
      <c r="T121" s="38" t="n">
        <v>0</v>
      </c>
      <c r="U121" s="40" t="n"/>
    </row>
    <row r="122" ht="56" customHeight="1">
      <c r="A122" s="60" t="inlineStr">
        <is>
          <t>End User</t>
        </is>
      </c>
      <c r="B122" s="44" t="inlineStr">
        <is>
          <t>归档数据查询</t>
        </is>
      </c>
      <c r="C122" s="38" t="inlineStr">
        <is>
          <t>3</t>
        </is>
      </c>
      <c r="D122" s="38" t="inlineStr">
        <is>
          <t>2.31.2</t>
        </is>
      </c>
      <c r="E122" s="38" t="inlineStr">
        <is>
          <t>终端用户</t>
        </is>
      </c>
      <c r="F122" s="41" t="inlineStr">
        <is>
          <t>P0</t>
        </is>
      </c>
      <c r="G122" s="40" t="inlineStr">
        <is>
          <t>Phase1 · 当前范围</t>
        </is>
      </c>
      <c r="H122" s="40" t="inlineStr">
        <is>
          <t>详情展示</t>
        </is>
      </c>
      <c r="I122" s="40" t="inlineStr">
        <is>
          <t>打开记录详情</t>
        </is>
      </c>
      <c r="J122" s="40" t="inlineStr">
        <is>
          <t>展示字段详情、脱敏结果和关联信息</t>
        </is>
      </c>
      <c r="K122" s="40" t="inlineStr">
        <is>
          <t>选择归档记录</t>
        </is>
      </c>
      <c r="L122" s="40" t="inlineStr">
        <is>
          <t>ArchiveQueryService</t>
        </is>
      </c>
      <c r="M122" s="38" t="n">
        <v>0</v>
      </c>
      <c r="N122" s="38" t="n">
        <v>1</v>
      </c>
      <c r="O122" s="38" t="n">
        <v>1</v>
      </c>
      <c r="P122" s="38" t="n">
        <v>1</v>
      </c>
      <c r="Q122" s="38" t="n">
        <v>0</v>
      </c>
      <c r="R122" s="38">
        <f>SUM(M122:Q122)</f>
        <v/>
      </c>
      <c r="S122" s="38" t="inlineStr">
        <is>
          <t>未开始</t>
        </is>
      </c>
      <c r="T122" s="38" t="n">
        <v>0</v>
      </c>
      <c r="U122" s="40" t="n"/>
    </row>
    <row r="123" ht="56" customHeight="1">
      <c r="A123" s="60" t="inlineStr">
        <is>
          <t>End User</t>
        </is>
      </c>
      <c r="B123" s="44" t="inlineStr">
        <is>
          <t>归档数据查询</t>
        </is>
      </c>
      <c r="C123" s="38" t="inlineStr">
        <is>
          <t>4</t>
        </is>
      </c>
      <c r="D123" s="38" t="inlineStr">
        <is>
          <t>2.32.1</t>
        </is>
      </c>
      <c r="E123" s="38" t="inlineStr">
        <is>
          <t>终端用户</t>
        </is>
      </c>
      <c r="F123" s="41" t="inlineStr">
        <is>
          <t>P0</t>
        </is>
      </c>
      <c r="G123" s="40" t="inlineStr">
        <is>
          <t>Phase1 · 当前范围</t>
        </is>
      </c>
      <c r="H123" s="40" t="inlineStr">
        <is>
          <t>附件展示</t>
        </is>
      </c>
      <c r="I123" s="40" t="inlineStr">
        <is>
          <t>查看附件列表</t>
        </is>
      </c>
      <c r="J123" s="40" t="inlineStr">
        <is>
          <t>在详情页展示关联附件</t>
        </is>
      </c>
      <c r="K123" s="40" t="inlineStr">
        <is>
          <t>详情展示</t>
        </is>
      </c>
      <c r="L123" s="40" t="inlineStr">
        <is>
          <t>ArchiveQueryService</t>
        </is>
      </c>
      <c r="M123" s="38" t="n">
        <v>0</v>
      </c>
      <c r="N123" s="38" t="n">
        <v>1</v>
      </c>
      <c r="O123" s="38" t="n">
        <v>2</v>
      </c>
      <c r="P123" s="38" t="n">
        <v>0</v>
      </c>
      <c r="Q123" s="38" t="n">
        <v>0</v>
      </c>
      <c r="R123" s="38">
        <f>SUM(M123:Q123)</f>
        <v/>
      </c>
      <c r="S123" s="38" t="inlineStr">
        <is>
          <t>未开始</t>
        </is>
      </c>
      <c r="T123" s="38" t="n">
        <v>0</v>
      </c>
      <c r="U123" s="40" t="inlineStr">
        <is>
          <t>SAS 链接直连预览/下载</t>
        </is>
      </c>
    </row>
    <row r="124" ht="56" customHeight="1">
      <c r="A124" s="60" t="inlineStr">
        <is>
          <t>End User</t>
        </is>
      </c>
      <c r="B124" s="44" t="inlineStr">
        <is>
          <t>归档数据查询</t>
        </is>
      </c>
      <c r="C124" s="38" t="inlineStr">
        <is>
          <t>4</t>
        </is>
      </c>
      <c r="D124" s="38" t="inlineStr">
        <is>
          <t>2.32.2</t>
        </is>
      </c>
      <c r="E124" s="38" t="inlineStr">
        <is>
          <t>终端用户</t>
        </is>
      </c>
      <c r="F124" s="41" t="inlineStr">
        <is>
          <t>P0</t>
        </is>
      </c>
      <c r="G124" s="40" t="inlineStr">
        <is>
          <t>Phase1 · 当前范围</t>
        </is>
      </c>
      <c r="H124" s="40" t="inlineStr">
        <is>
          <t>附件展示</t>
        </is>
      </c>
      <c r="I124" s="40" t="inlineStr">
        <is>
          <t>预览附件</t>
        </is>
      </c>
      <c r="J124" s="40" t="inlineStr">
        <is>
          <t>通过 SAS 链接打开附件预览</t>
        </is>
      </c>
      <c r="K124" s="40" t="inlineStr">
        <is>
          <t>查看附件列表</t>
        </is>
      </c>
      <c r="L124" s="40" t="inlineStr">
        <is>
          <t>ArchiveQueryService</t>
        </is>
      </c>
      <c r="M124" s="38" t="n">
        <v>0</v>
      </c>
      <c r="N124" s="38" t="n">
        <v>1</v>
      </c>
      <c r="O124" s="38" t="n">
        <v>2</v>
      </c>
      <c r="P124" s="38" t="n">
        <v>0</v>
      </c>
      <c r="Q124" s="38" t="n">
        <v>0</v>
      </c>
      <c r="R124" s="38">
        <f>SUM(M124:Q124)</f>
        <v/>
      </c>
      <c r="S124" s="38" t="inlineStr">
        <is>
          <t>未开始</t>
        </is>
      </c>
      <c r="T124" s="38" t="n">
        <v>0</v>
      </c>
      <c r="U124" s="40" t="inlineStr">
        <is>
          <t>SAS 链接直连预览/下载</t>
        </is>
      </c>
    </row>
    <row r="125" ht="56" customHeight="1">
      <c r="A125" s="60" t="inlineStr">
        <is>
          <t>End User</t>
        </is>
      </c>
      <c r="B125" s="44" t="inlineStr">
        <is>
          <t>归档数据查询</t>
        </is>
      </c>
      <c r="C125" s="38" t="inlineStr">
        <is>
          <t>4</t>
        </is>
      </c>
      <c r="D125" s="38" t="inlineStr">
        <is>
          <t>2.32.3</t>
        </is>
      </c>
      <c r="E125" s="38" t="inlineStr">
        <is>
          <t>终端用户</t>
        </is>
      </c>
      <c r="F125" s="41" t="inlineStr">
        <is>
          <t>P0</t>
        </is>
      </c>
      <c r="G125" s="40" t="inlineStr">
        <is>
          <t>Phase1 · 当前范围</t>
        </is>
      </c>
      <c r="H125" s="40" t="inlineStr">
        <is>
          <t>附件展示</t>
        </is>
      </c>
      <c r="I125" s="40" t="inlineStr">
        <is>
          <t>下载附件</t>
        </is>
      </c>
      <c r="J125" s="40" t="inlineStr">
        <is>
          <t>通过权限校验后下载附件</t>
        </is>
      </c>
      <c r="K125" s="40" t="inlineStr">
        <is>
          <t>查看附件列表</t>
        </is>
      </c>
      <c r="L125" s="40" t="inlineStr">
        <is>
          <t>ArchiveQueryService</t>
        </is>
      </c>
      <c r="M125" s="38" t="n">
        <v>0</v>
      </c>
      <c r="N125" s="38" t="n">
        <v>1</v>
      </c>
      <c r="O125" s="38" t="n">
        <v>2</v>
      </c>
      <c r="P125" s="38" t="n">
        <v>0</v>
      </c>
      <c r="Q125" s="38" t="n">
        <v>0</v>
      </c>
      <c r="R125" s="38">
        <f>SUM(M125:Q125)</f>
        <v/>
      </c>
      <c r="S125" s="38" t="inlineStr">
        <is>
          <t>未开始</t>
        </is>
      </c>
      <c r="T125" s="38" t="n">
        <v>0</v>
      </c>
      <c r="U125" s="40" t="inlineStr">
        <is>
          <t>SAS 链接直连预览/下载</t>
        </is>
      </c>
    </row>
    <row r="126" ht="56" customHeight="1">
      <c r="A126" s="60" t="inlineStr">
        <is>
          <t>End User</t>
        </is>
      </c>
      <c r="B126" s="44" t="inlineStr">
        <is>
          <t>归档数据查询</t>
        </is>
      </c>
      <c r="C126" s="38" t="inlineStr">
        <is>
          <t>4</t>
        </is>
      </c>
      <c r="D126" s="38" t="inlineStr">
        <is>
          <t>2.32.4</t>
        </is>
      </c>
      <c r="E126" s="38" t="inlineStr">
        <is>
          <t>终端用户</t>
        </is>
      </c>
      <c r="F126" s="41" t="inlineStr">
        <is>
          <t>P0</t>
        </is>
      </c>
      <c r="G126" s="40" t="inlineStr">
        <is>
          <t>Phase1 · 当前范围</t>
        </is>
      </c>
      <c r="H126" s="40" t="inlineStr">
        <is>
          <t>附件展示</t>
        </is>
      </c>
      <c r="I126" s="40" t="inlineStr">
        <is>
          <t>记录附件操作</t>
        </is>
      </c>
      <c r="J126" s="40" t="inlineStr">
        <is>
          <t>记录预览和下载行为</t>
        </is>
      </c>
      <c r="K126" s="40" t="inlineStr">
        <is>
          <t>预览附件/下载附件</t>
        </is>
      </c>
      <c r="L126" s="40" t="inlineStr">
        <is>
          <t>ArchiveQueryService</t>
        </is>
      </c>
      <c r="M126" s="38" t="n">
        <v>0</v>
      </c>
      <c r="N126" s="38" t="n">
        <v>1</v>
      </c>
      <c r="O126" s="38" t="n">
        <v>2</v>
      </c>
      <c r="P126" s="38" t="n">
        <v>0</v>
      </c>
      <c r="Q126" s="38" t="n">
        <v>0</v>
      </c>
      <c r="R126" s="38">
        <f>SUM(M126:Q126)</f>
        <v/>
      </c>
      <c r="S126" s="38" t="inlineStr">
        <is>
          <t>未开始</t>
        </is>
      </c>
      <c r="T126" s="38" t="n">
        <v>0</v>
      </c>
      <c r="U126" s="40" t="inlineStr">
        <is>
          <t>SAS 链接直连预览/下载</t>
        </is>
      </c>
    </row>
    <row r="127" ht="56" customHeight="1">
      <c r="A127" s="61" t="inlineStr">
        <is>
          <t>工程支撑</t>
        </is>
      </c>
      <c r="B127" s="46" t="inlineStr">
        <is>
          <t>DevOps 流水线</t>
        </is>
      </c>
      <c r="C127" s="38" t="inlineStr">
        <is>
          <t>—</t>
        </is>
      </c>
      <c r="D127" s="38" t="inlineStr">
        <is>
          <t>3.33.1</t>
        </is>
      </c>
      <c r="E127" s="38" t="inlineStr">
        <is>
          <t>项目团队/工程人员</t>
        </is>
      </c>
      <c r="F127" s="42" t="inlineStr">
        <is>
          <t>P1</t>
        </is>
      </c>
      <c r="G127" s="40" t="inlineStr">
        <is>
          <t>工程支撑 · 当前范围</t>
        </is>
      </c>
      <c r="H127" s="40" t="inlineStr">
        <is>
          <t>资源申请</t>
        </is>
      </c>
      <c r="I127" s="40" t="inlineStr">
        <is>
          <t>确认资源清单</t>
        </is>
      </c>
      <c r="J127" s="40" t="inlineStr">
        <is>
          <t>确定应用、数据库、缓存、Key Vault 和 Databricks 资源</t>
        </is>
      </c>
      <c r="K127" s="40" t="inlineStr">
        <is>
          <t>—</t>
        </is>
      </c>
      <c r="L127" s="40" t="inlineStr">
        <is>
          <t>AppResource</t>
        </is>
      </c>
      <c r="M127" s="38" t="n">
        <v>0</v>
      </c>
      <c r="N127" s="38" t="n">
        <v>0</v>
      </c>
      <c r="O127" s="38" t="n">
        <v>2</v>
      </c>
      <c r="P127" s="38" t="n">
        <v>0</v>
      </c>
      <c r="Q127" s="38" t="n">
        <v>0</v>
      </c>
      <c r="R127" s="38">
        <f>SUM(M127:Q127)</f>
        <v/>
      </c>
      <c r="S127" s="38" t="inlineStr">
        <is>
          <t>未开始</t>
        </is>
      </c>
      <c r="T127" s="38" t="n">
        <v>0</v>
      </c>
      <c r="U127" s="40" t="inlineStr">
        <is>
          <t>平台团队协同</t>
        </is>
      </c>
    </row>
    <row r="128" ht="56" customHeight="1">
      <c r="A128" s="61" t="inlineStr">
        <is>
          <t>工程支撑</t>
        </is>
      </c>
      <c r="B128" s="46" t="inlineStr">
        <is>
          <t>DevOps 流水线</t>
        </is>
      </c>
      <c r="C128" s="38" t="inlineStr">
        <is>
          <t>—</t>
        </is>
      </c>
      <c r="D128" s="38" t="inlineStr">
        <is>
          <t>3.33.2</t>
        </is>
      </c>
      <c r="E128" s="38" t="inlineStr">
        <is>
          <t>项目团队/工程人员</t>
        </is>
      </c>
      <c r="F128" s="42" t="inlineStr">
        <is>
          <t>P1</t>
        </is>
      </c>
      <c r="G128" s="40" t="inlineStr">
        <is>
          <t>工程支撑 · 当前范围</t>
        </is>
      </c>
      <c r="H128" s="40" t="inlineStr">
        <is>
          <t>资源申请</t>
        </is>
      </c>
      <c r="I128" s="40" t="inlineStr">
        <is>
          <t>申请云资源</t>
        </is>
      </c>
      <c r="J128" s="40" t="inlineStr">
        <is>
          <t>提交资源申请并跟踪状态</t>
        </is>
      </c>
      <c r="K128" s="40" t="inlineStr">
        <is>
          <t>确认资源清单</t>
        </is>
      </c>
      <c r="L128" s="40" t="inlineStr">
        <is>
          <t>AppResource</t>
        </is>
      </c>
      <c r="M128" s="38" t="n">
        <v>0</v>
      </c>
      <c r="N128" s="38" t="n">
        <v>0</v>
      </c>
      <c r="O128" s="38" t="n">
        <v>2</v>
      </c>
      <c r="P128" s="38" t="n">
        <v>0</v>
      </c>
      <c r="Q128" s="38" t="n">
        <v>0</v>
      </c>
      <c r="R128" s="38">
        <f>SUM(M128:Q128)</f>
        <v/>
      </c>
      <c r="S128" s="38" t="inlineStr">
        <is>
          <t>未开始</t>
        </is>
      </c>
      <c r="T128" s="38" t="n">
        <v>0</v>
      </c>
      <c r="U128" s="40" t="inlineStr">
        <is>
          <t>平台团队协同</t>
        </is>
      </c>
    </row>
    <row r="129" ht="56" customHeight="1">
      <c r="A129" s="61" t="inlineStr">
        <is>
          <t>工程支撑</t>
        </is>
      </c>
      <c r="B129" s="46" t="inlineStr">
        <is>
          <t>DevOps 流水线</t>
        </is>
      </c>
      <c r="C129" s="38" t="inlineStr">
        <is>
          <t>—</t>
        </is>
      </c>
      <c r="D129" s="38" t="inlineStr">
        <is>
          <t>3.33.3</t>
        </is>
      </c>
      <c r="E129" s="38" t="inlineStr">
        <is>
          <t>项目团队/工程人员</t>
        </is>
      </c>
      <c r="F129" s="42" t="inlineStr">
        <is>
          <t>P1</t>
        </is>
      </c>
      <c r="G129" s="40" t="inlineStr">
        <is>
          <t>工程支撑 · 当前范围</t>
        </is>
      </c>
      <c r="H129" s="40" t="inlineStr">
        <is>
          <t>资源申请</t>
        </is>
      </c>
      <c r="I129" s="40" t="inlineStr">
        <is>
          <t>获取环境信息</t>
        </is>
      </c>
      <c r="J129" s="40" t="inlineStr">
        <is>
          <t>整理连接信息和访问权限</t>
        </is>
      </c>
      <c r="K129" s="40" t="inlineStr">
        <is>
          <t>申请云资源</t>
        </is>
      </c>
      <c r="L129" s="40" t="inlineStr">
        <is>
          <t>AppResource</t>
        </is>
      </c>
      <c r="M129" s="38" t="n">
        <v>0</v>
      </c>
      <c r="N129" s="38" t="n">
        <v>0</v>
      </c>
      <c r="O129" s="38" t="n">
        <v>2</v>
      </c>
      <c r="P129" s="38" t="n">
        <v>0</v>
      </c>
      <c r="Q129" s="38" t="n">
        <v>0</v>
      </c>
      <c r="R129" s="38">
        <f>SUM(M129:Q129)</f>
        <v/>
      </c>
      <c r="S129" s="38" t="inlineStr">
        <is>
          <t>未开始</t>
        </is>
      </c>
      <c r="T129" s="38" t="n">
        <v>0</v>
      </c>
      <c r="U129" s="40" t="inlineStr">
        <is>
          <t>平台团队协同</t>
        </is>
      </c>
    </row>
    <row r="130" ht="56" customHeight="1">
      <c r="A130" s="61" t="inlineStr">
        <is>
          <t>工程支撑</t>
        </is>
      </c>
      <c r="B130" s="46" t="inlineStr">
        <is>
          <t>DevOps 流水线</t>
        </is>
      </c>
      <c r="C130" s="38" t="inlineStr">
        <is>
          <t>—</t>
        </is>
      </c>
      <c r="D130" s="38" t="inlineStr">
        <is>
          <t>3.34.1</t>
        </is>
      </c>
      <c r="E130" s="38" t="inlineStr">
        <is>
          <t>项目团队/工程人员</t>
        </is>
      </c>
      <c r="F130" s="42" t="inlineStr">
        <is>
          <t>P1</t>
        </is>
      </c>
      <c r="G130" s="40" t="inlineStr">
        <is>
          <t>工程支撑 · 当前范围</t>
        </is>
      </c>
      <c r="H130" s="40" t="inlineStr">
        <is>
          <t>流水线代码编写</t>
        </is>
      </c>
      <c r="I130" s="40" t="inlineStr">
        <is>
          <t>配置构建流水线</t>
        </is>
      </c>
      <c r="J130" s="40" t="inlineStr">
        <is>
          <t>定义代码构建和依赖安装</t>
        </is>
      </c>
      <c r="K130" s="40" t="inlineStr">
        <is>
          <t>资源申请</t>
        </is>
      </c>
      <c r="L130" s="40" t="inlineStr">
        <is>
          <t>Pipeline Code</t>
        </is>
      </c>
      <c r="M130" s="38" t="n">
        <v>0</v>
      </c>
      <c r="N130" s="38" t="n">
        <v>0</v>
      </c>
      <c r="O130" s="38" t="n">
        <v>1</v>
      </c>
      <c r="P130" s="38" t="n">
        <v>0</v>
      </c>
      <c r="Q130" s="38" t="n">
        <v>0</v>
      </c>
      <c r="R130" s="38">
        <f>SUM(M130:Q130)</f>
        <v/>
      </c>
      <c r="S130" s="38" t="inlineStr">
        <is>
          <t>未开始</t>
        </is>
      </c>
      <c r="T130" s="38" t="n">
        <v>0</v>
      </c>
      <c r="U130" s="40" t="inlineStr">
        <is>
          <t>Azure DevOps CI/CD</t>
        </is>
      </c>
    </row>
    <row r="131" ht="56" customHeight="1">
      <c r="A131" s="61" t="inlineStr">
        <is>
          <t>工程支撑</t>
        </is>
      </c>
      <c r="B131" s="46" t="inlineStr">
        <is>
          <t>DevOps 流水线</t>
        </is>
      </c>
      <c r="C131" s="38" t="inlineStr">
        <is>
          <t>—</t>
        </is>
      </c>
      <c r="D131" s="38" t="inlineStr">
        <is>
          <t>3.34.2</t>
        </is>
      </c>
      <c r="E131" s="38" t="inlineStr">
        <is>
          <t>项目团队/工程人员</t>
        </is>
      </c>
      <c r="F131" s="42" t="inlineStr">
        <is>
          <t>P1</t>
        </is>
      </c>
      <c r="G131" s="40" t="inlineStr">
        <is>
          <t>工程支撑 · 当前范围</t>
        </is>
      </c>
      <c r="H131" s="40" t="inlineStr">
        <is>
          <t>流水线代码编写</t>
        </is>
      </c>
      <c r="I131" s="40" t="inlineStr">
        <is>
          <t>配置测试流水线</t>
        </is>
      </c>
      <c r="J131" s="40" t="inlineStr">
        <is>
          <t>接入自动化测试和质量检查</t>
        </is>
      </c>
      <c r="K131" s="40" t="inlineStr">
        <is>
          <t>配置构建流水线</t>
        </is>
      </c>
      <c r="L131" s="40" t="inlineStr">
        <is>
          <t>Pipeline Code</t>
        </is>
      </c>
      <c r="M131" s="38" t="n">
        <v>0</v>
      </c>
      <c r="N131" s="38" t="n">
        <v>0</v>
      </c>
      <c r="O131" s="38" t="n">
        <v>1</v>
      </c>
      <c r="P131" s="38" t="n">
        <v>0</v>
      </c>
      <c r="Q131" s="38" t="n">
        <v>0</v>
      </c>
      <c r="R131" s="38">
        <f>SUM(M131:Q131)</f>
        <v/>
      </c>
      <c r="S131" s="38" t="inlineStr">
        <is>
          <t>未开始</t>
        </is>
      </c>
      <c r="T131" s="38" t="n">
        <v>0</v>
      </c>
      <c r="U131" s="40" t="inlineStr">
        <is>
          <t>Azure DevOps CI/CD</t>
        </is>
      </c>
    </row>
    <row r="132" ht="56" customHeight="1">
      <c r="A132" s="61" t="inlineStr">
        <is>
          <t>工程支撑</t>
        </is>
      </c>
      <c r="B132" s="46" t="inlineStr">
        <is>
          <t>DevOps 流水线</t>
        </is>
      </c>
      <c r="C132" s="38" t="inlineStr">
        <is>
          <t>—</t>
        </is>
      </c>
      <c r="D132" s="38" t="inlineStr">
        <is>
          <t>3.34.3</t>
        </is>
      </c>
      <c r="E132" s="38" t="inlineStr">
        <is>
          <t>项目团队/工程人员</t>
        </is>
      </c>
      <c r="F132" s="42" t="inlineStr">
        <is>
          <t>P1</t>
        </is>
      </c>
      <c r="G132" s="40" t="inlineStr">
        <is>
          <t>工程支撑 · 当前范围</t>
        </is>
      </c>
      <c r="H132" s="40" t="inlineStr">
        <is>
          <t>流水线代码编写</t>
        </is>
      </c>
      <c r="I132" s="40" t="inlineStr">
        <is>
          <t>配置发布流水线</t>
        </is>
      </c>
      <c r="J132" s="40" t="inlineStr">
        <is>
          <t>定义部署环境和发布策略</t>
        </is>
      </c>
      <c r="K132" s="40" t="inlineStr">
        <is>
          <t>配置测试流水线</t>
        </is>
      </c>
      <c r="L132" s="40" t="inlineStr">
        <is>
          <t>Pipeline Code</t>
        </is>
      </c>
      <c r="M132" s="38" t="n">
        <v>0</v>
      </c>
      <c r="N132" s="38" t="n">
        <v>0</v>
      </c>
      <c r="O132" s="38" t="n">
        <v>1</v>
      </c>
      <c r="P132" s="38" t="n">
        <v>0</v>
      </c>
      <c r="Q132" s="38" t="n">
        <v>0</v>
      </c>
      <c r="R132" s="38">
        <f>SUM(M132:Q132)</f>
        <v/>
      </c>
      <c r="S132" s="38" t="inlineStr">
        <is>
          <t>未开始</t>
        </is>
      </c>
      <c r="T132" s="38" t="n">
        <v>0</v>
      </c>
      <c r="U132" s="40" t="inlineStr">
        <is>
          <t>Azure DevOps CI/CD</t>
        </is>
      </c>
    </row>
    <row r="133" ht="56" customHeight="1">
      <c r="A133" s="61" t="inlineStr">
        <is>
          <t>工程支撑</t>
        </is>
      </c>
      <c r="B133" s="46" t="inlineStr">
        <is>
          <t>DevOps 流水线</t>
        </is>
      </c>
      <c r="C133" s="38" t="inlineStr">
        <is>
          <t>—</t>
        </is>
      </c>
      <c r="D133" s="38" t="inlineStr">
        <is>
          <t>3.34.4</t>
        </is>
      </c>
      <c r="E133" s="38" t="inlineStr">
        <is>
          <t>项目团队/工程人员</t>
        </is>
      </c>
      <c r="F133" s="42" t="inlineStr">
        <is>
          <t>P1</t>
        </is>
      </c>
      <c r="G133" s="40" t="inlineStr">
        <is>
          <t>工程支撑 · 当前范围</t>
        </is>
      </c>
      <c r="H133" s="40" t="inlineStr">
        <is>
          <t>流水线代码编写</t>
        </is>
      </c>
      <c r="I133" s="40" t="inlineStr">
        <is>
          <t>保存流水线代码</t>
        </is>
      </c>
      <c r="J133" s="40" t="inlineStr">
        <is>
          <t>提交 CI/CD 配置并保留版本</t>
        </is>
      </c>
      <c r="K133" s="40" t="inlineStr">
        <is>
          <t>配置发布流水线</t>
        </is>
      </c>
      <c r="L133" s="40" t="inlineStr">
        <is>
          <t>Pipeline Code</t>
        </is>
      </c>
      <c r="M133" s="38" t="n">
        <v>0</v>
      </c>
      <c r="N133" s="38" t="n">
        <v>0</v>
      </c>
      <c r="O133" s="38" t="n">
        <v>1</v>
      </c>
      <c r="P133" s="38" t="n">
        <v>0</v>
      </c>
      <c r="Q133" s="38" t="n">
        <v>0</v>
      </c>
      <c r="R133" s="38">
        <f>SUM(M133:Q133)</f>
        <v/>
      </c>
      <c r="S133" s="38" t="inlineStr">
        <is>
          <t>未开始</t>
        </is>
      </c>
      <c r="T133" s="38" t="n">
        <v>0</v>
      </c>
      <c r="U133" s="40" t="inlineStr">
        <is>
          <t>Azure DevOps CI/CD</t>
        </is>
      </c>
    </row>
    <row r="134" ht="56" customHeight="1">
      <c r="A134" s="61" t="inlineStr">
        <is>
          <t>工程支撑</t>
        </is>
      </c>
      <c r="B134" s="46" t="inlineStr">
        <is>
          <t>DevOps 流水线</t>
        </is>
      </c>
      <c r="C134" s="38" t="inlineStr">
        <is>
          <t>—</t>
        </is>
      </c>
      <c r="D134" s="38" t="inlineStr">
        <is>
          <t>3.35.1</t>
        </is>
      </c>
      <c r="E134" s="38" t="inlineStr">
        <is>
          <t>项目团队/工程人员</t>
        </is>
      </c>
      <c r="F134" s="42" t="inlineStr">
        <is>
          <t>P1</t>
        </is>
      </c>
      <c r="G134" s="40" t="inlineStr">
        <is>
          <t>工程支撑 · 当前范围</t>
        </is>
      </c>
      <c r="H134" s="40" t="inlineStr">
        <is>
          <t>云资源集成测试</t>
        </is>
      </c>
      <c r="I134" s="40" t="inlineStr">
        <is>
          <t>测试 Key Vault 集成</t>
        </is>
      </c>
      <c r="J134" s="40" t="inlineStr">
        <is>
          <t>验证密钥读取和权限</t>
        </is>
      </c>
      <c r="K134" s="40" t="inlineStr">
        <is>
          <t>资源申请、流水线代码编写</t>
        </is>
      </c>
      <c r="L134" s="40" t="inlineStr">
        <is>
          <t>KeyVault/SqlServer/Redis/Databricks</t>
        </is>
      </c>
      <c r="M134" s="38" t="n">
        <v>0</v>
      </c>
      <c r="N134" s="38" t="n">
        <v>0</v>
      </c>
      <c r="O134" s="38" t="n">
        <v>1</v>
      </c>
      <c r="P134" s="38" t="n">
        <v>0</v>
      </c>
      <c r="Q134" s="38" t="n">
        <v>0</v>
      </c>
      <c r="R134" s="38">
        <f>SUM(M134:Q134)</f>
        <v/>
      </c>
      <c r="S134" s="38" t="inlineStr">
        <is>
          <t>未开始</t>
        </is>
      </c>
      <c r="T134" s="38" t="n">
        <v>0</v>
      </c>
      <c r="U134" s="40" t="n"/>
    </row>
    <row r="135" ht="56" customHeight="1">
      <c r="A135" s="61" t="inlineStr">
        <is>
          <t>工程支撑</t>
        </is>
      </c>
      <c r="B135" s="46" t="inlineStr">
        <is>
          <t>DevOps 流水线</t>
        </is>
      </c>
      <c r="C135" s="38" t="inlineStr">
        <is>
          <t>—</t>
        </is>
      </c>
      <c r="D135" s="38" t="inlineStr">
        <is>
          <t>3.35.2</t>
        </is>
      </c>
      <c r="E135" s="38" t="inlineStr">
        <is>
          <t>项目团队/工程人员</t>
        </is>
      </c>
      <c r="F135" s="42" t="inlineStr">
        <is>
          <t>P1</t>
        </is>
      </c>
      <c r="G135" s="40" t="inlineStr">
        <is>
          <t>工程支撑 · 当前范围</t>
        </is>
      </c>
      <c r="H135" s="40" t="inlineStr">
        <is>
          <t>云资源集成测试</t>
        </is>
      </c>
      <c r="I135" s="40" t="inlineStr">
        <is>
          <t>测试 SQL Server 集成</t>
        </is>
      </c>
      <c r="J135" s="40" t="inlineStr">
        <is>
          <t>验证数据库连接和读写</t>
        </is>
      </c>
      <c r="K135" s="40" t="inlineStr">
        <is>
          <t>资源申请、流水线代码编写</t>
        </is>
      </c>
      <c r="L135" s="40" t="inlineStr">
        <is>
          <t>KeyVault/SqlServer/Redis/Databricks</t>
        </is>
      </c>
      <c r="M135" s="38" t="n">
        <v>0</v>
      </c>
      <c r="N135" s="38" t="n">
        <v>0</v>
      </c>
      <c r="O135" s="38" t="n">
        <v>1</v>
      </c>
      <c r="P135" s="38" t="n">
        <v>0</v>
      </c>
      <c r="Q135" s="38" t="n">
        <v>0</v>
      </c>
      <c r="R135" s="38">
        <f>SUM(M135:Q135)</f>
        <v/>
      </c>
      <c r="S135" s="38" t="inlineStr">
        <is>
          <t>未开始</t>
        </is>
      </c>
      <c r="T135" s="38" t="n">
        <v>0</v>
      </c>
      <c r="U135" s="40" t="n"/>
    </row>
    <row r="136" ht="56" customHeight="1">
      <c r="A136" s="61" t="inlineStr">
        <is>
          <t>工程支撑</t>
        </is>
      </c>
      <c r="B136" s="46" t="inlineStr">
        <is>
          <t>DevOps 流水线</t>
        </is>
      </c>
      <c r="C136" s="38" t="inlineStr">
        <is>
          <t>—</t>
        </is>
      </c>
      <c r="D136" s="38" t="inlineStr">
        <is>
          <t>3.35.3</t>
        </is>
      </c>
      <c r="E136" s="38" t="inlineStr">
        <is>
          <t>项目团队/工程人员</t>
        </is>
      </c>
      <c r="F136" s="42" t="inlineStr">
        <is>
          <t>P1</t>
        </is>
      </c>
      <c r="G136" s="40" t="inlineStr">
        <is>
          <t>工程支撑 · 当前范围</t>
        </is>
      </c>
      <c r="H136" s="40" t="inlineStr">
        <is>
          <t>云资源集成测试</t>
        </is>
      </c>
      <c r="I136" s="40" t="inlineStr">
        <is>
          <t>测试 Redis 集成</t>
        </is>
      </c>
      <c r="J136" s="40" t="inlineStr">
        <is>
          <t>验证缓存连接和读写</t>
        </is>
      </c>
      <c r="K136" s="40" t="inlineStr">
        <is>
          <t>资源申请、流水线代码编写</t>
        </is>
      </c>
      <c r="L136" s="40" t="inlineStr">
        <is>
          <t>KeyVault/SqlServer/Redis/Databricks</t>
        </is>
      </c>
      <c r="M136" s="38" t="n">
        <v>0</v>
      </c>
      <c r="N136" s="38" t="n">
        <v>0</v>
      </c>
      <c r="O136" s="38" t="n">
        <v>1</v>
      </c>
      <c r="P136" s="38" t="n">
        <v>0</v>
      </c>
      <c r="Q136" s="38" t="n">
        <v>0</v>
      </c>
      <c r="R136" s="38">
        <f>SUM(M136:Q136)</f>
        <v/>
      </c>
      <c r="S136" s="38" t="inlineStr">
        <is>
          <t>未开始</t>
        </is>
      </c>
      <c r="T136" s="38" t="n">
        <v>0</v>
      </c>
      <c r="U136" s="40" t="n"/>
    </row>
    <row r="137" ht="56" customHeight="1">
      <c r="A137" s="61" t="inlineStr">
        <is>
          <t>工程支撑</t>
        </is>
      </c>
      <c r="B137" s="46" t="inlineStr">
        <is>
          <t>DevOps 流水线</t>
        </is>
      </c>
      <c r="C137" s="38" t="inlineStr">
        <is>
          <t>—</t>
        </is>
      </c>
      <c r="D137" s="38" t="inlineStr">
        <is>
          <t>3.35.4</t>
        </is>
      </c>
      <c r="E137" s="38" t="inlineStr">
        <is>
          <t>项目团队/工程人员</t>
        </is>
      </c>
      <c r="F137" s="42" t="inlineStr">
        <is>
          <t>P1</t>
        </is>
      </c>
      <c r="G137" s="40" t="inlineStr">
        <is>
          <t>工程支撑 · 当前范围</t>
        </is>
      </c>
      <c r="H137" s="40" t="inlineStr">
        <is>
          <t>云资源集成测试</t>
        </is>
      </c>
      <c r="I137" s="40" t="inlineStr">
        <is>
          <t>测试 Databricks 集成</t>
        </is>
      </c>
      <c r="J137" s="40" t="inlineStr">
        <is>
          <t>验证 Job 提交和状态读取</t>
        </is>
      </c>
      <c r="K137" s="40" t="inlineStr">
        <is>
          <t>资源申请、流水线代码编写</t>
        </is>
      </c>
      <c r="L137" s="40" t="inlineStr">
        <is>
          <t>KeyVault/SqlServer/Redis/Databricks</t>
        </is>
      </c>
      <c r="M137" s="38" t="n">
        <v>0</v>
      </c>
      <c r="N137" s="38" t="n">
        <v>0</v>
      </c>
      <c r="O137" s="38" t="n">
        <v>1</v>
      </c>
      <c r="P137" s="38" t="n">
        <v>0</v>
      </c>
      <c r="Q137" s="38" t="n">
        <v>0</v>
      </c>
      <c r="R137" s="38">
        <f>SUM(M137:Q137)</f>
        <v/>
      </c>
      <c r="S137" s="38" t="inlineStr">
        <is>
          <t>未开始</t>
        </is>
      </c>
      <c r="T137" s="38" t="n">
        <v>0</v>
      </c>
      <c r="U137" s="40" t="n"/>
    </row>
    <row r="138" ht="56" customHeight="1">
      <c r="A138" s="61" t="inlineStr">
        <is>
          <t>工程支撑</t>
        </is>
      </c>
      <c r="B138" s="46" t="inlineStr">
        <is>
          <t>DevOps 流水线</t>
        </is>
      </c>
      <c r="C138" s="38" t="inlineStr">
        <is>
          <t>—</t>
        </is>
      </c>
      <c r="D138" s="38" t="inlineStr">
        <is>
          <t>3.35.5</t>
        </is>
      </c>
      <c r="E138" s="38" t="inlineStr">
        <is>
          <t>项目团队/工程人员</t>
        </is>
      </c>
      <c r="F138" s="42" t="inlineStr">
        <is>
          <t>P1</t>
        </is>
      </c>
      <c r="G138" s="40" t="inlineStr">
        <is>
          <t>工程支撑 · 当前范围</t>
        </is>
      </c>
      <c r="H138" s="40" t="inlineStr">
        <is>
          <t>云资源集成测试</t>
        </is>
      </c>
      <c r="I138" s="40" t="inlineStr">
        <is>
          <t>汇总集成测试结果</t>
        </is>
      </c>
      <c r="J138" s="40" t="inlineStr">
        <is>
          <t>记录通过项和异常项</t>
        </is>
      </c>
      <c r="K138" s="40" t="inlineStr">
        <is>
          <t>测试 Databricks 集成</t>
        </is>
      </c>
      <c r="L138" s="40" t="inlineStr">
        <is>
          <t>KeyVault/SqlServer/Redis/Databricks</t>
        </is>
      </c>
      <c r="M138" s="38" t="n">
        <v>0</v>
      </c>
      <c r="N138" s="38" t="n">
        <v>0</v>
      </c>
      <c r="O138" s="38" t="n">
        <v>1</v>
      </c>
      <c r="P138" s="38" t="n">
        <v>0</v>
      </c>
      <c r="Q138" s="38" t="n">
        <v>0</v>
      </c>
      <c r="R138" s="38">
        <f>SUM(M138:Q138)</f>
        <v/>
      </c>
      <c r="S138" s="38" t="inlineStr">
        <is>
          <t>未开始</t>
        </is>
      </c>
      <c r="T138" s="38" t="n">
        <v>0</v>
      </c>
      <c r="U138" s="40" t="n"/>
    </row>
    <row r="139" ht="56" customHeight="1">
      <c r="A139" s="61" t="inlineStr">
        <is>
          <t>工程支撑</t>
        </is>
      </c>
      <c r="B139" s="46" t="inlineStr">
        <is>
          <t>SLC 文档</t>
        </is>
      </c>
      <c r="C139" s="38" t="inlineStr">
        <is>
          <t>—</t>
        </is>
      </c>
      <c r="D139" s="38" t="inlineStr">
        <is>
          <t>3.36.1</t>
        </is>
      </c>
      <c r="E139" s="38" t="inlineStr">
        <is>
          <t>项目团队/工程人员</t>
        </is>
      </c>
      <c r="F139" s="42" t="inlineStr">
        <is>
          <t>P1</t>
        </is>
      </c>
      <c r="G139" s="40" t="inlineStr">
        <is>
          <t>工程支撑 · 当前范围</t>
        </is>
      </c>
      <c r="H139" s="40" t="inlineStr">
        <is>
          <t>ADD（架构与设计文档）</t>
        </is>
      </c>
      <c r="I139" s="40" t="inlineStr">
        <is>
          <t>编写 ADD 文档</t>
        </is>
      </c>
      <c r="J139" s="40" t="inlineStr">
        <is>
          <t>完成架构与设计内容</t>
        </is>
      </c>
      <c r="K139" s="40" t="inlineStr">
        <is>
          <t>资源申请</t>
        </is>
      </c>
      <c r="L139" s="40" t="inlineStr">
        <is>
          <t>—</t>
        </is>
      </c>
      <c r="M139" s="38" t="n">
        <v>0</v>
      </c>
      <c r="N139" s="38" t="n">
        <v>0</v>
      </c>
      <c r="O139" s="38" t="n">
        <v>2</v>
      </c>
      <c r="P139" s="38" t="n">
        <v>0</v>
      </c>
      <c r="Q139" s="38" t="n">
        <v>0</v>
      </c>
      <c r="R139" s="38">
        <f>SUM(M139:Q139)</f>
        <v/>
      </c>
      <c r="S139" s="38" t="inlineStr">
        <is>
          <t>未开始</t>
        </is>
      </c>
      <c r="T139" s="38" t="n">
        <v>0</v>
      </c>
      <c r="U139" s="40" t="n"/>
    </row>
    <row r="140" ht="56" customHeight="1">
      <c r="A140" s="61" t="inlineStr">
        <is>
          <t>工程支撑</t>
        </is>
      </c>
      <c r="B140" s="46" t="inlineStr">
        <is>
          <t>SLC 文档</t>
        </is>
      </c>
      <c r="C140" s="38" t="inlineStr">
        <is>
          <t>—</t>
        </is>
      </c>
      <c r="D140" s="38" t="inlineStr">
        <is>
          <t>3.36.2</t>
        </is>
      </c>
      <c r="E140" s="38" t="inlineStr">
        <is>
          <t>项目团队/工程人员</t>
        </is>
      </c>
      <c r="F140" s="42" t="inlineStr">
        <is>
          <t>P1</t>
        </is>
      </c>
      <c r="G140" s="40" t="inlineStr">
        <is>
          <t>工程支撑 · 当前范围</t>
        </is>
      </c>
      <c r="H140" s="40" t="inlineStr">
        <is>
          <t>ADD（架构与设计文档）</t>
        </is>
      </c>
      <c r="I140" s="40" t="inlineStr">
        <is>
          <t>评审 ADD 文档</t>
        </is>
      </c>
      <c r="J140" s="40" t="inlineStr">
        <is>
          <t>完成评审意见和基线确认</t>
        </is>
      </c>
      <c r="K140" s="40" t="inlineStr">
        <is>
          <t>编写 ADD 文档</t>
        </is>
      </c>
      <c r="L140" s="40" t="inlineStr">
        <is>
          <t>—</t>
        </is>
      </c>
      <c r="M140" s="38" t="n">
        <v>0</v>
      </c>
      <c r="N140" s="38" t="n">
        <v>0</v>
      </c>
      <c r="O140" s="38" t="n">
        <v>2</v>
      </c>
      <c r="P140" s="38" t="n">
        <v>0</v>
      </c>
      <c r="Q140" s="38" t="n">
        <v>0</v>
      </c>
      <c r="R140" s="38">
        <f>SUM(M140:Q140)</f>
        <v/>
      </c>
      <c r="S140" s="38" t="inlineStr">
        <is>
          <t>未开始</t>
        </is>
      </c>
      <c r="T140" s="38" t="n">
        <v>0</v>
      </c>
      <c r="U140" s="40" t="n"/>
    </row>
    <row r="141" ht="56" customHeight="1">
      <c r="A141" s="61" t="inlineStr">
        <is>
          <t>工程支撑</t>
        </is>
      </c>
      <c r="B141" s="46" t="inlineStr">
        <is>
          <t>SLC 文档</t>
        </is>
      </c>
      <c r="C141" s="38" t="inlineStr">
        <is>
          <t>—</t>
        </is>
      </c>
      <c r="D141" s="38" t="inlineStr">
        <is>
          <t>3.37.1</t>
        </is>
      </c>
      <c r="E141" s="38" t="inlineStr">
        <is>
          <t>项目团队/工程人员</t>
        </is>
      </c>
      <c r="F141" s="42" t="inlineStr">
        <is>
          <t>P1</t>
        </is>
      </c>
      <c r="G141" s="40" t="inlineStr">
        <is>
          <t>工程支撑 · 当前范围</t>
        </is>
      </c>
      <c r="H141" s="40" t="inlineStr">
        <is>
          <t>SDD（Database/Detailed/Interface）</t>
        </is>
      </c>
      <c r="I141" s="40" t="inlineStr">
        <is>
          <t>编写数据库设计</t>
        </is>
      </c>
      <c r="J141" s="40" t="inlineStr">
        <is>
          <t>完成数据模型和数据库设计</t>
        </is>
      </c>
      <c r="K141" s="40" t="inlineStr">
        <is>
          <t>ADD（架构与设计文档）</t>
        </is>
      </c>
      <c r="L141" s="40" t="inlineStr">
        <is>
          <t>—</t>
        </is>
      </c>
      <c r="M141" s="38" t="n">
        <v>0</v>
      </c>
      <c r="N141" s="38" t="n">
        <v>0</v>
      </c>
      <c r="O141" s="38" t="n">
        <v>3</v>
      </c>
      <c r="P141" s="38" t="n">
        <v>0</v>
      </c>
      <c r="Q141" s="38" t="n">
        <v>0</v>
      </c>
      <c r="R141" s="38">
        <f>SUM(M141:Q141)</f>
        <v/>
      </c>
      <c r="S141" s="38" t="inlineStr">
        <is>
          <t>未开始</t>
        </is>
      </c>
      <c r="T141" s="38" t="n">
        <v>0</v>
      </c>
      <c r="U141" s="40" t="n"/>
    </row>
    <row r="142" ht="56" customHeight="1">
      <c r="A142" s="61" t="inlineStr">
        <is>
          <t>工程支撑</t>
        </is>
      </c>
      <c r="B142" s="46" t="inlineStr">
        <is>
          <t>SLC 文档</t>
        </is>
      </c>
      <c r="C142" s="38" t="inlineStr">
        <is>
          <t>—</t>
        </is>
      </c>
      <c r="D142" s="38" t="inlineStr">
        <is>
          <t>3.37.2</t>
        </is>
      </c>
      <c r="E142" s="38" t="inlineStr">
        <is>
          <t>项目团队/工程人员</t>
        </is>
      </c>
      <c r="F142" s="42" t="inlineStr">
        <is>
          <t>P1</t>
        </is>
      </c>
      <c r="G142" s="40" t="inlineStr">
        <is>
          <t>工程支撑 · 当前范围</t>
        </is>
      </c>
      <c r="H142" s="40" t="inlineStr">
        <is>
          <t>SDD（Database/Detailed/Interface）</t>
        </is>
      </c>
      <c r="I142" s="40" t="inlineStr">
        <is>
          <t>编写详细设计</t>
        </is>
      </c>
      <c r="J142" s="40" t="inlineStr">
        <is>
          <t>完成模块和流程详细设计</t>
        </is>
      </c>
      <c r="K142" s="40" t="inlineStr">
        <is>
          <t>ADD（架构与设计文档）</t>
        </is>
      </c>
      <c r="L142" s="40" t="inlineStr">
        <is>
          <t>—</t>
        </is>
      </c>
      <c r="M142" s="38" t="n">
        <v>0</v>
      </c>
      <c r="N142" s="38" t="n">
        <v>0</v>
      </c>
      <c r="O142" s="38" t="n">
        <v>3</v>
      </c>
      <c r="P142" s="38" t="n">
        <v>0</v>
      </c>
      <c r="Q142" s="38" t="n">
        <v>0</v>
      </c>
      <c r="R142" s="38">
        <f>SUM(M142:Q142)</f>
        <v/>
      </c>
      <c r="S142" s="38" t="inlineStr">
        <is>
          <t>未开始</t>
        </is>
      </c>
      <c r="T142" s="38" t="n">
        <v>0</v>
      </c>
      <c r="U142" s="40" t="n"/>
    </row>
    <row r="143" ht="56" customHeight="1">
      <c r="A143" s="61" t="inlineStr">
        <is>
          <t>工程支撑</t>
        </is>
      </c>
      <c r="B143" s="46" t="inlineStr">
        <is>
          <t>SLC 文档</t>
        </is>
      </c>
      <c r="C143" s="38" t="inlineStr">
        <is>
          <t>—</t>
        </is>
      </c>
      <c r="D143" s="38" t="inlineStr">
        <is>
          <t>3.37.3</t>
        </is>
      </c>
      <c r="E143" s="38" t="inlineStr">
        <is>
          <t>项目团队/工程人员</t>
        </is>
      </c>
      <c r="F143" s="42" t="inlineStr">
        <is>
          <t>P1</t>
        </is>
      </c>
      <c r="G143" s="40" t="inlineStr">
        <is>
          <t>工程支撑 · 当前范围</t>
        </is>
      </c>
      <c r="H143" s="40" t="inlineStr">
        <is>
          <t>SDD（Database/Detailed/Interface）</t>
        </is>
      </c>
      <c r="I143" s="40" t="inlineStr">
        <is>
          <t>编写接口设计</t>
        </is>
      </c>
      <c r="J143" s="40" t="inlineStr">
        <is>
          <t>完成接口及服务契约设计</t>
        </is>
      </c>
      <c r="K143" s="40" t="inlineStr">
        <is>
          <t>ADD（架构与设计文档）</t>
        </is>
      </c>
      <c r="L143" s="40" t="inlineStr">
        <is>
          <t>—</t>
        </is>
      </c>
      <c r="M143" s="38" t="n">
        <v>0</v>
      </c>
      <c r="N143" s="38" t="n">
        <v>0</v>
      </c>
      <c r="O143" s="38" t="n">
        <v>3</v>
      </c>
      <c r="P143" s="38" t="n">
        <v>0</v>
      </c>
      <c r="Q143" s="38" t="n">
        <v>0</v>
      </c>
      <c r="R143" s="38">
        <f>SUM(M143:Q143)</f>
        <v/>
      </c>
      <c r="S143" s="38" t="inlineStr">
        <is>
          <t>未开始</t>
        </is>
      </c>
      <c r="T143" s="38" t="n">
        <v>0</v>
      </c>
      <c r="U143" s="40" t="n"/>
    </row>
    <row r="144" ht="56" customHeight="1">
      <c r="A144" s="61" t="inlineStr">
        <is>
          <t>工程支撑</t>
        </is>
      </c>
      <c r="B144" s="46" t="inlineStr">
        <is>
          <t>SLC 文档</t>
        </is>
      </c>
      <c r="C144" s="38" t="inlineStr">
        <is>
          <t>—</t>
        </is>
      </c>
      <c r="D144" s="38" t="inlineStr">
        <is>
          <t>3.37.4</t>
        </is>
      </c>
      <c r="E144" s="38" t="inlineStr">
        <is>
          <t>项目团队/工程人员</t>
        </is>
      </c>
      <c r="F144" s="42" t="inlineStr">
        <is>
          <t>P1</t>
        </is>
      </c>
      <c r="G144" s="40" t="inlineStr">
        <is>
          <t>工程支撑 · 当前范围</t>
        </is>
      </c>
      <c r="H144" s="40" t="inlineStr">
        <is>
          <t>SDD（Database/Detailed/Interface）</t>
        </is>
      </c>
      <c r="I144" s="40" t="inlineStr">
        <is>
          <t>评审 SDD 文档</t>
        </is>
      </c>
      <c r="J144" s="40" t="inlineStr">
        <is>
          <t>完成设计评审和基线确认</t>
        </is>
      </c>
      <c r="K144" s="40" t="inlineStr">
        <is>
          <t>编写数据库设计/编写详细设计/编写接口设计</t>
        </is>
      </c>
      <c r="L144" s="40" t="inlineStr">
        <is>
          <t>—</t>
        </is>
      </c>
      <c r="M144" s="38" t="n">
        <v>0</v>
      </c>
      <c r="N144" s="38" t="n">
        <v>0</v>
      </c>
      <c r="O144" s="38" t="n">
        <v>3</v>
      </c>
      <c r="P144" s="38" t="n">
        <v>0</v>
      </c>
      <c r="Q144" s="38" t="n">
        <v>0</v>
      </c>
      <c r="R144" s="38">
        <f>SUM(M144:Q144)</f>
        <v/>
      </c>
      <c r="S144" s="38" t="inlineStr">
        <is>
          <t>未开始</t>
        </is>
      </c>
      <c r="T144" s="38" t="n">
        <v>0</v>
      </c>
      <c r="U144" s="40" t="n"/>
    </row>
    <row r="145" ht="56" customHeight="1">
      <c r="A145" s="61" t="inlineStr">
        <is>
          <t>工程支撑</t>
        </is>
      </c>
      <c r="B145" s="46" t="inlineStr">
        <is>
          <t>SLC 文档</t>
        </is>
      </c>
      <c r="C145" s="38" t="inlineStr">
        <is>
          <t>—</t>
        </is>
      </c>
      <c r="D145" s="38" t="inlineStr">
        <is>
          <t>3.38.1</t>
        </is>
      </c>
      <c r="E145" s="38" t="inlineStr">
        <is>
          <t>项目团队/工程人员</t>
        </is>
      </c>
      <c r="F145" s="42" t="inlineStr">
        <is>
          <t>P1</t>
        </is>
      </c>
      <c r="G145" s="40" t="inlineStr">
        <is>
          <t>工程支撑 · 当前范围</t>
        </is>
      </c>
      <c r="H145" s="40" t="inlineStr">
        <is>
          <t>IQ Test Pre / IQ Test Post</t>
        </is>
      </c>
      <c r="I145" s="40" t="inlineStr">
        <is>
          <t>准备 IQ 测试</t>
        </is>
      </c>
      <c r="J145" s="40" t="inlineStr">
        <is>
          <t>准备测试环境、数据和检查项</t>
        </is>
      </c>
      <c r="K145" s="40" t="inlineStr">
        <is>
          <t>SDD（Database/Detailed/Interface）</t>
        </is>
      </c>
      <c r="L145" s="40" t="inlineStr">
        <is>
          <t>—</t>
        </is>
      </c>
      <c r="M145" s="38" t="n">
        <v>0</v>
      </c>
      <c r="N145" s="38" t="n">
        <v>0</v>
      </c>
      <c r="O145" s="38" t="n">
        <v>0</v>
      </c>
      <c r="P145" s="38" t="n">
        <v>0</v>
      </c>
      <c r="Q145" s="38" t="n">
        <v>2</v>
      </c>
      <c r="R145" s="38">
        <f>SUM(M145:Q145)</f>
        <v/>
      </c>
      <c r="S145" s="38" t="inlineStr">
        <is>
          <t>未开始</t>
        </is>
      </c>
      <c r="T145" s="38" t="n">
        <v>0</v>
      </c>
      <c r="U145" s="40" t="inlineStr">
        <is>
          <t>功能测试，不含文档</t>
        </is>
      </c>
    </row>
    <row r="146" ht="56" customHeight="1">
      <c r="A146" s="61" t="inlineStr">
        <is>
          <t>工程支撑</t>
        </is>
      </c>
      <c r="B146" s="46" t="inlineStr">
        <is>
          <t>SLC 文档</t>
        </is>
      </c>
      <c r="C146" s="38" t="inlineStr">
        <is>
          <t>—</t>
        </is>
      </c>
      <c r="D146" s="38" t="inlineStr">
        <is>
          <t>3.38.2</t>
        </is>
      </c>
      <c r="E146" s="38" t="inlineStr">
        <is>
          <t>项目团队/工程人员</t>
        </is>
      </c>
      <c r="F146" s="42" t="inlineStr">
        <is>
          <t>P1</t>
        </is>
      </c>
      <c r="G146" s="40" t="inlineStr">
        <is>
          <t>工程支撑 · 当前范围</t>
        </is>
      </c>
      <c r="H146" s="40" t="inlineStr">
        <is>
          <t>IQ Test Pre / IQ Test Post</t>
        </is>
      </c>
      <c r="I146" s="40" t="inlineStr">
        <is>
          <t>执行 IQ Test Pre</t>
        </is>
      </c>
      <c r="J146" s="40" t="inlineStr">
        <is>
          <t>执行上线前 IQ 检查</t>
        </is>
      </c>
      <c r="K146" s="40" t="inlineStr">
        <is>
          <t>准备 IQ 测试</t>
        </is>
      </c>
      <c r="L146" s="40" t="inlineStr">
        <is>
          <t>—</t>
        </is>
      </c>
      <c r="M146" s="38" t="n">
        <v>0</v>
      </c>
      <c r="N146" s="38" t="n">
        <v>0</v>
      </c>
      <c r="O146" s="38" t="n">
        <v>0</v>
      </c>
      <c r="P146" s="38" t="n">
        <v>0</v>
      </c>
      <c r="Q146" s="38" t="n">
        <v>2</v>
      </c>
      <c r="R146" s="38">
        <f>SUM(M146:Q146)</f>
        <v/>
      </c>
      <c r="S146" s="38" t="inlineStr">
        <is>
          <t>未开始</t>
        </is>
      </c>
      <c r="T146" s="38" t="n">
        <v>0</v>
      </c>
      <c r="U146" s="40" t="inlineStr">
        <is>
          <t>功能测试，不含文档</t>
        </is>
      </c>
    </row>
    <row r="147" ht="56" customHeight="1">
      <c r="A147" s="61" t="inlineStr">
        <is>
          <t>工程支撑</t>
        </is>
      </c>
      <c r="B147" s="46" t="inlineStr">
        <is>
          <t>SLC 文档</t>
        </is>
      </c>
      <c r="C147" s="38" t="inlineStr">
        <is>
          <t>—</t>
        </is>
      </c>
      <c r="D147" s="38" t="inlineStr">
        <is>
          <t>3.38.3</t>
        </is>
      </c>
      <c r="E147" s="38" t="inlineStr">
        <is>
          <t>项目团队/工程人员</t>
        </is>
      </c>
      <c r="F147" s="42" t="inlineStr">
        <is>
          <t>P1</t>
        </is>
      </c>
      <c r="G147" s="40" t="inlineStr">
        <is>
          <t>工程支撑 · 当前范围</t>
        </is>
      </c>
      <c r="H147" s="40" t="inlineStr">
        <is>
          <t>IQ Test Pre / IQ Test Post</t>
        </is>
      </c>
      <c r="I147" s="40" t="inlineStr">
        <is>
          <t>执行 IQ Test Post</t>
        </is>
      </c>
      <c r="J147" s="40" t="inlineStr">
        <is>
          <t>完成上线后 IQ 验证</t>
        </is>
      </c>
      <c r="K147" s="40" t="inlineStr">
        <is>
          <t>执行 IQ Test Pre</t>
        </is>
      </c>
      <c r="L147" s="40" t="inlineStr">
        <is>
          <t>—</t>
        </is>
      </c>
      <c r="M147" s="38" t="n">
        <v>0</v>
      </c>
      <c r="N147" s="38" t="n">
        <v>0</v>
      </c>
      <c r="O147" s="38" t="n">
        <v>0</v>
      </c>
      <c r="P147" s="38" t="n">
        <v>0</v>
      </c>
      <c r="Q147" s="38" t="n">
        <v>2</v>
      </c>
      <c r="R147" s="38">
        <f>SUM(M147:Q147)</f>
        <v/>
      </c>
      <c r="S147" s="38" t="inlineStr">
        <is>
          <t>未开始</t>
        </is>
      </c>
      <c r="T147" s="38" t="n">
        <v>0</v>
      </c>
      <c r="U147" s="40" t="inlineStr">
        <is>
          <t>功能测试，不含文档</t>
        </is>
      </c>
    </row>
    <row r="148" ht="56" customHeight="1">
      <c r="A148" s="61" t="inlineStr">
        <is>
          <t>工程支撑</t>
        </is>
      </c>
      <c r="B148" s="46" t="inlineStr">
        <is>
          <t>SLC 文档</t>
        </is>
      </c>
      <c r="C148" s="38" t="inlineStr">
        <is>
          <t>—</t>
        </is>
      </c>
      <c r="D148" s="38" t="inlineStr">
        <is>
          <t>3.38.4</t>
        </is>
      </c>
      <c r="E148" s="38" t="inlineStr">
        <is>
          <t>项目团队/工程人员</t>
        </is>
      </c>
      <c r="F148" s="42" t="inlineStr">
        <is>
          <t>P1</t>
        </is>
      </c>
      <c r="G148" s="40" t="inlineStr">
        <is>
          <t>工程支撑 · 当前范围</t>
        </is>
      </c>
      <c r="H148" s="40" t="inlineStr">
        <is>
          <t>IQ Test Pre / IQ Test Post</t>
        </is>
      </c>
      <c r="I148" s="40" t="inlineStr">
        <is>
          <t>记录 IQ 测试结果</t>
        </is>
      </c>
      <c r="J148" s="40" t="inlineStr">
        <is>
          <t>形成测试记录和问题闭环</t>
        </is>
      </c>
      <c r="K148" s="40" t="inlineStr">
        <is>
          <t>执行 IQ Test Post</t>
        </is>
      </c>
      <c r="L148" s="40" t="inlineStr">
        <is>
          <t>—</t>
        </is>
      </c>
      <c r="M148" s="38" t="n">
        <v>0</v>
      </c>
      <c r="N148" s="38" t="n">
        <v>0</v>
      </c>
      <c r="O148" s="38" t="n">
        <v>0</v>
      </c>
      <c r="P148" s="38" t="n">
        <v>0</v>
      </c>
      <c r="Q148" s="38" t="n">
        <v>2</v>
      </c>
      <c r="R148" s="38">
        <f>SUM(M148:Q148)</f>
        <v/>
      </c>
      <c r="S148" s="38" t="inlineStr">
        <is>
          <t>未开始</t>
        </is>
      </c>
      <c r="T148" s="38" t="n">
        <v>0</v>
      </c>
      <c r="U148" s="40" t="inlineStr">
        <is>
          <t>功能测试，不含文档</t>
        </is>
      </c>
    </row>
    <row r="149" ht="56" customHeight="1">
      <c r="A149" s="61" t="inlineStr">
        <is>
          <t>工程支撑</t>
        </is>
      </c>
      <c r="B149" s="46" t="inlineStr">
        <is>
          <t>SLC 文档</t>
        </is>
      </c>
      <c r="C149" s="38" t="inlineStr">
        <is>
          <t>—</t>
        </is>
      </c>
      <c r="D149" s="38" t="inlineStr">
        <is>
          <t>3.39.1</t>
        </is>
      </c>
      <c r="E149" s="38" t="inlineStr">
        <is>
          <t>项目团队/工程人员</t>
        </is>
      </c>
      <c r="F149" s="42" t="inlineStr">
        <is>
          <t>P1</t>
        </is>
      </c>
      <c r="G149" s="40" t="inlineStr">
        <is>
          <t>工程支撑 · 当前范围</t>
        </is>
      </c>
      <c r="H149" s="40" t="inlineStr">
        <is>
          <t>OQ（运行确认）</t>
        </is>
      </c>
      <c r="I149" s="40" t="inlineStr">
        <is>
          <t>准备 OQ 场景</t>
        </is>
      </c>
      <c r="J149" s="40" t="inlineStr">
        <is>
          <t>准备运行确认用例和数据</t>
        </is>
      </c>
      <c r="K149" s="40" t="inlineStr">
        <is>
          <t>IQ Test Pre / IQ Test Post</t>
        </is>
      </c>
      <c r="L149" s="40" t="inlineStr">
        <is>
          <t>—</t>
        </is>
      </c>
      <c r="M149" s="38" t="n">
        <v>0</v>
      </c>
      <c r="N149" s="38" t="n">
        <v>0</v>
      </c>
      <c r="O149" s="38" t="n">
        <v>0</v>
      </c>
      <c r="P149" s="38" t="n">
        <v>0</v>
      </c>
      <c r="Q149" s="38" t="n">
        <v>2</v>
      </c>
      <c r="R149" s="38">
        <f>SUM(M149:Q149)</f>
        <v/>
      </c>
      <c r="S149" s="38" t="inlineStr">
        <is>
          <t>未开始</t>
        </is>
      </c>
      <c r="T149" s="38" t="n">
        <v>0</v>
      </c>
      <c r="U149" s="40" t="n"/>
    </row>
    <row r="150" ht="56" customHeight="1">
      <c r="A150" s="61" t="inlineStr">
        <is>
          <t>工程支撑</t>
        </is>
      </c>
      <c r="B150" s="46" t="inlineStr">
        <is>
          <t>SLC 文档</t>
        </is>
      </c>
      <c r="C150" s="38" t="inlineStr">
        <is>
          <t>—</t>
        </is>
      </c>
      <c r="D150" s="38" t="inlineStr">
        <is>
          <t>3.39.2</t>
        </is>
      </c>
      <c r="E150" s="38" t="inlineStr">
        <is>
          <t>项目团队/工程人员</t>
        </is>
      </c>
      <c r="F150" s="42" t="inlineStr">
        <is>
          <t>P1</t>
        </is>
      </c>
      <c r="G150" s="40" t="inlineStr">
        <is>
          <t>工程支撑 · 当前范围</t>
        </is>
      </c>
      <c r="H150" s="40" t="inlineStr">
        <is>
          <t>OQ（运行确认）</t>
        </is>
      </c>
      <c r="I150" s="40" t="inlineStr">
        <is>
          <t>执行 OQ</t>
        </is>
      </c>
      <c r="J150" s="40" t="inlineStr">
        <is>
          <t>验证运行环境和核心功能</t>
        </is>
      </c>
      <c r="K150" s="40" t="inlineStr">
        <is>
          <t>准备 OQ 场景</t>
        </is>
      </c>
      <c r="L150" s="40" t="inlineStr">
        <is>
          <t>—</t>
        </is>
      </c>
      <c r="M150" s="38" t="n">
        <v>0</v>
      </c>
      <c r="N150" s="38" t="n">
        <v>0</v>
      </c>
      <c r="O150" s="38" t="n">
        <v>0</v>
      </c>
      <c r="P150" s="38" t="n">
        <v>0</v>
      </c>
      <c r="Q150" s="38" t="n">
        <v>2</v>
      </c>
      <c r="R150" s="38">
        <f>SUM(M150:Q150)</f>
        <v/>
      </c>
      <c r="S150" s="38" t="inlineStr">
        <is>
          <t>未开始</t>
        </is>
      </c>
      <c r="T150" s="38" t="n">
        <v>0</v>
      </c>
      <c r="U150" s="40" t="n"/>
    </row>
    <row r="151" ht="56" customHeight="1">
      <c r="A151" s="61" t="inlineStr">
        <is>
          <t>工程支撑</t>
        </is>
      </c>
      <c r="B151" s="46" t="inlineStr">
        <is>
          <t>SLC 文档</t>
        </is>
      </c>
      <c r="C151" s="38" t="inlineStr">
        <is>
          <t>—</t>
        </is>
      </c>
      <c r="D151" s="38" t="inlineStr">
        <is>
          <t>3.39.3</t>
        </is>
      </c>
      <c r="E151" s="38" t="inlineStr">
        <is>
          <t>项目团队/工程人员</t>
        </is>
      </c>
      <c r="F151" s="42" t="inlineStr">
        <is>
          <t>P1</t>
        </is>
      </c>
      <c r="G151" s="40" t="inlineStr">
        <is>
          <t>工程支撑 · 当前范围</t>
        </is>
      </c>
      <c r="H151" s="40" t="inlineStr">
        <is>
          <t>OQ（运行确认）</t>
        </is>
      </c>
      <c r="I151" s="40" t="inlineStr">
        <is>
          <t>记录 OQ 结论</t>
        </is>
      </c>
      <c r="J151" s="40" t="inlineStr">
        <is>
          <t>形成运行确认结论</t>
        </is>
      </c>
      <c r="K151" s="40" t="inlineStr">
        <is>
          <t>执行 OQ</t>
        </is>
      </c>
      <c r="L151" s="40" t="inlineStr">
        <is>
          <t>—</t>
        </is>
      </c>
      <c r="M151" s="38" t="n">
        <v>0</v>
      </c>
      <c r="N151" s="38" t="n">
        <v>0</v>
      </c>
      <c r="O151" s="38" t="n">
        <v>0</v>
      </c>
      <c r="P151" s="38" t="n">
        <v>0</v>
      </c>
      <c r="Q151" s="38" t="n">
        <v>2</v>
      </c>
      <c r="R151" s="38">
        <f>SUM(M151:Q151)</f>
        <v/>
      </c>
      <c r="S151" s="38" t="inlineStr">
        <is>
          <t>未开始</t>
        </is>
      </c>
      <c r="T151" s="38" t="n">
        <v>0</v>
      </c>
      <c r="U151" s="40" t="n"/>
    </row>
    <row r="152" ht="56" customHeight="1">
      <c r="A152" s="61" t="inlineStr">
        <is>
          <t>工程支撑</t>
        </is>
      </c>
      <c r="B152" s="46" t="inlineStr">
        <is>
          <t>SLC 文档</t>
        </is>
      </c>
      <c r="C152" s="38" t="inlineStr">
        <is>
          <t>—</t>
        </is>
      </c>
      <c r="D152" s="38" t="inlineStr">
        <is>
          <t>3.40.1</t>
        </is>
      </c>
      <c r="E152" s="38" t="inlineStr">
        <is>
          <t>项目团队/工程人员</t>
        </is>
      </c>
      <c r="F152" s="42" t="inlineStr">
        <is>
          <t>P1</t>
        </is>
      </c>
      <c r="G152" s="40" t="inlineStr">
        <is>
          <t>工程支撑 · 当前范围</t>
        </is>
      </c>
      <c r="H152" s="40" t="inlineStr">
        <is>
          <t>IQ PROD Pre</t>
        </is>
      </c>
      <c r="I152" s="40" t="inlineStr">
        <is>
          <t>准备生产 IQ 检查</t>
        </is>
      </c>
      <c r="J152" s="40" t="inlineStr">
        <is>
          <t>确认生产资源、权限和配置</t>
        </is>
      </c>
      <c r="K152" s="40" t="inlineStr">
        <is>
          <t>OQ（运行确认）</t>
        </is>
      </c>
      <c r="L152" s="40" t="inlineStr">
        <is>
          <t>—</t>
        </is>
      </c>
      <c r="M152" s="38" t="n">
        <v>0</v>
      </c>
      <c r="N152" s="38" t="n">
        <v>0</v>
      </c>
      <c r="O152" s="38" t="n">
        <v>0</v>
      </c>
      <c r="P152" s="38" t="n">
        <v>0</v>
      </c>
      <c r="Q152" s="38" t="n">
        <v>1</v>
      </c>
      <c r="R152" s="38">
        <f>SUM(M152:Q152)</f>
        <v/>
      </c>
      <c r="S152" s="38" t="inlineStr">
        <is>
          <t>未开始</t>
        </is>
      </c>
      <c r="T152" s="38" t="n">
        <v>0</v>
      </c>
      <c r="U152" s="40" t="n"/>
    </row>
    <row r="153" ht="56" customHeight="1">
      <c r="A153" s="61" t="inlineStr">
        <is>
          <t>工程支撑</t>
        </is>
      </c>
      <c r="B153" s="46" t="inlineStr">
        <is>
          <t>SLC 文档</t>
        </is>
      </c>
      <c r="C153" s="38" t="inlineStr">
        <is>
          <t>—</t>
        </is>
      </c>
      <c r="D153" s="38" t="inlineStr">
        <is>
          <t>3.40.2</t>
        </is>
      </c>
      <c r="E153" s="38" t="inlineStr">
        <is>
          <t>项目团队/工程人员</t>
        </is>
      </c>
      <c r="F153" s="42" t="inlineStr">
        <is>
          <t>P1</t>
        </is>
      </c>
      <c r="G153" s="40" t="inlineStr">
        <is>
          <t>工程支撑 · 当前范围</t>
        </is>
      </c>
      <c r="H153" s="40" t="inlineStr">
        <is>
          <t>IQ PROD Pre</t>
        </is>
      </c>
      <c r="I153" s="40" t="inlineStr">
        <is>
          <t>执行生产前 IQ 检查</t>
        </is>
      </c>
      <c r="J153" s="40" t="inlineStr">
        <is>
          <t>完成生产发布前检查</t>
        </is>
      </c>
      <c r="K153" s="40" t="inlineStr">
        <is>
          <t>准备生产 IQ 检查</t>
        </is>
      </c>
      <c r="L153" s="40" t="inlineStr">
        <is>
          <t>—</t>
        </is>
      </c>
      <c r="M153" s="38" t="n">
        <v>0</v>
      </c>
      <c r="N153" s="38" t="n">
        <v>0</v>
      </c>
      <c r="O153" s="38" t="n">
        <v>0</v>
      </c>
      <c r="P153" s="38" t="n">
        <v>0</v>
      </c>
      <c r="Q153" s="38" t="n">
        <v>1</v>
      </c>
      <c r="R153" s="38">
        <f>SUM(M153:Q153)</f>
        <v/>
      </c>
      <c r="S153" s="38" t="inlineStr">
        <is>
          <t>未开始</t>
        </is>
      </c>
      <c r="T153" s="38" t="n">
        <v>0</v>
      </c>
      <c r="U153" s="40" t="n"/>
    </row>
    <row r="154" ht="56" customHeight="1">
      <c r="A154" s="61" t="inlineStr">
        <is>
          <t>工程支撑</t>
        </is>
      </c>
      <c r="B154" s="46" t="inlineStr">
        <is>
          <t>SLC 文档</t>
        </is>
      </c>
      <c r="C154" s="38" t="inlineStr">
        <is>
          <t>—</t>
        </is>
      </c>
      <c r="D154" s="38" t="inlineStr">
        <is>
          <t>3.40.3</t>
        </is>
      </c>
      <c r="E154" s="38" t="inlineStr">
        <is>
          <t>项目团队/工程人员</t>
        </is>
      </c>
      <c r="F154" s="42" t="inlineStr">
        <is>
          <t>P1</t>
        </is>
      </c>
      <c r="G154" s="40" t="inlineStr">
        <is>
          <t>工程支撑 · 当前范围</t>
        </is>
      </c>
      <c r="H154" s="40" t="inlineStr">
        <is>
          <t>IQ PROD Pre</t>
        </is>
      </c>
      <c r="I154" s="40" t="inlineStr">
        <is>
          <t>输出 IQ PROD Pre 结论</t>
        </is>
      </c>
      <c r="J154" s="40" t="inlineStr">
        <is>
          <t>形成发布准入结论</t>
        </is>
      </c>
      <c r="K154" s="40" t="inlineStr">
        <is>
          <t>执行生产前 IQ 检查</t>
        </is>
      </c>
      <c r="L154" s="40" t="inlineStr">
        <is>
          <t>—</t>
        </is>
      </c>
      <c r="M154" s="38" t="n">
        <v>0</v>
      </c>
      <c r="N154" s="38" t="n">
        <v>0</v>
      </c>
      <c r="O154" s="38" t="n">
        <v>0</v>
      </c>
      <c r="P154" s="38" t="n">
        <v>0</v>
      </c>
      <c r="Q154" s="38" t="n">
        <v>1</v>
      </c>
      <c r="R154" s="38">
        <f>SUM(M154:Q154)</f>
        <v/>
      </c>
      <c r="S154" s="38" t="inlineStr">
        <is>
          <t>未开始</t>
        </is>
      </c>
      <c r="T154" s="38" t="n">
        <v>0</v>
      </c>
      <c r="U154" s="40" t="n"/>
    </row>
    <row r="155">
      <c r="A155" s="47" t="inlineStr">
        <is>
          <t>合计</t>
        </is>
      </c>
      <c r="B155" s="47" t="n"/>
      <c r="C155" s="47" t="n"/>
      <c r="D155" s="47" t="n"/>
      <c r="E155" s="47" t="n"/>
      <c r="F155" s="47" t="n"/>
      <c r="G155" s="47" t="n"/>
      <c r="H155" s="47" t="inlineStr">
        <is>
          <t>原子功能总量；同一原始功能的人天在拆分行中展示，汇总时按原始功能去重</t>
        </is>
      </c>
      <c r="I155" s="47" t="n"/>
      <c r="J155" s="47" t="n"/>
      <c r="K155" s="47" t="n"/>
      <c r="L155" s="47" t="n"/>
      <c r="M155" s="47">
        <f>SUM(M6:M154)</f>
        <v/>
      </c>
      <c r="N155" s="47">
        <f>SUM(N6:N154)</f>
        <v/>
      </c>
      <c r="O155" s="47">
        <f>SUM(O6:O154)</f>
        <v/>
      </c>
      <c r="P155" s="47">
        <f>SUM(P6:P154)</f>
        <v/>
      </c>
      <c r="Q155" s="47">
        <f>SUM(Q6:Q154)</f>
        <v/>
      </c>
      <c r="R155" s="47">
        <f>SUM(R6:R154)</f>
        <v/>
      </c>
      <c r="S155" s="47" t="inlineStr">
        <is>
          <t>未开始</t>
        </is>
      </c>
      <c r="T155" s="47" t="n">
        <v>0</v>
      </c>
      <c r="U155" s="47" t="n"/>
    </row>
    <row r="158">
      <c r="A158" s="48" t="inlineStr">
        <is>
          <t>功能覆盖索引（原始功能 → 拆分后的原子功能数量）</t>
        </is>
      </c>
    </row>
    <row r="159">
      <c r="A159" s="49" t="inlineStr">
        <is>
          <t>一级菜单</t>
        </is>
      </c>
      <c r="B159" s="49" t="inlineStr">
        <is>
          <t>二级菜单/功能分组</t>
        </is>
      </c>
      <c r="C159" s="49" t="inlineStr">
        <is>
          <t>原始功能点</t>
        </is>
      </c>
      <c r="D159" s="49" t="inlineStr">
        <is>
          <t>拆分行数</t>
        </is>
      </c>
      <c r="E159" s="49" t="inlineStr">
        <is>
          <t>原 WBS</t>
        </is>
      </c>
      <c r="F159" s="49" t="inlineStr">
        <is>
          <t>原估算总人天</t>
        </is>
      </c>
      <c r="G159" s="49" t="inlineStr">
        <is>
          <t>依赖起点</t>
        </is>
      </c>
      <c r="H159" s="49" t="inlineStr">
        <is>
          <t>备注</t>
        </is>
      </c>
    </row>
    <row r="160">
      <c r="A160" s="39" t="inlineStr">
        <is>
          <t>ADMIN</t>
        </is>
      </c>
      <c r="B160" s="40" t="inlineStr">
        <is>
          <t>登录</t>
        </is>
      </c>
      <c r="C160" s="40" t="inlineStr">
        <is>
          <t>企业 SSO 集成</t>
        </is>
      </c>
      <c r="D160" s="40" t="n">
        <v>3</v>
      </c>
      <c r="E160" s="40" t="inlineStr">
        <is>
          <t>1.1</t>
        </is>
      </c>
      <c r="F160" s="40">
        <f>SUM(1,2,2,0,3)</f>
        <v/>
      </c>
      <c r="G160" s="40" t="inlineStr">
        <is>
          <t>—</t>
        </is>
      </c>
      <c r="H160" s="40" t="inlineStr">
        <is>
          <t>集成 LDAPs；End User 共用，不重复计</t>
        </is>
      </c>
    </row>
    <row r="161">
      <c r="A161" s="39" t="inlineStr">
        <is>
          <t>ADMIN</t>
        </is>
      </c>
      <c r="B161" s="40" t="inlineStr">
        <is>
          <t>源系统管理</t>
        </is>
      </c>
      <c r="C161" s="40" t="inlineStr">
        <is>
          <t>系统基础信息录入</t>
        </is>
      </c>
      <c r="D161" s="40" t="n">
        <v>4</v>
      </c>
      <c r="E161" s="40" t="inlineStr">
        <is>
          <t>1.2</t>
        </is>
      </c>
      <c r="F161" s="40">
        <f>SUM(1,1,1,0,1)</f>
        <v/>
      </c>
      <c r="G161" s="40" t="inlineStr">
        <is>
          <t>企业 SSO 集成</t>
        </is>
      </c>
      <c r="H161" s="40" t="n"/>
    </row>
    <row r="162">
      <c r="A162" s="39" t="inlineStr">
        <is>
          <t>ADMIN</t>
        </is>
      </c>
      <c r="B162" s="40" t="inlineStr">
        <is>
          <t>源系统管理</t>
        </is>
      </c>
      <c r="C162" s="40" t="inlineStr">
        <is>
          <t>数据库连接信息配置（配置数据源）</t>
        </is>
      </c>
      <c r="D162" s="40" t="n">
        <v>4</v>
      </c>
      <c r="E162" s="40" t="inlineStr">
        <is>
          <t>1.3</t>
        </is>
      </c>
      <c r="F162" s="40">
        <f>SUM(0,0.5,2,0,0)</f>
        <v/>
      </c>
      <c r="G162" s="40" t="inlineStr">
        <is>
          <t>系统基础信息录入</t>
        </is>
      </c>
      <c r="H162" s="40" t="n"/>
    </row>
    <row r="163">
      <c r="A163" s="39" t="inlineStr">
        <is>
          <t>ADMIN</t>
        </is>
      </c>
      <c r="B163" s="40" t="inlineStr">
        <is>
          <t>源系统管理</t>
        </is>
      </c>
      <c r="C163" s="40" t="inlineStr">
        <is>
          <t>数据保留期限设置</t>
        </is>
      </c>
      <c r="D163" s="40" t="n">
        <v>3</v>
      </c>
      <c r="E163" s="40" t="inlineStr">
        <is>
          <t>1.4</t>
        </is>
      </c>
      <c r="F163" s="40">
        <f>SUM(0,0.5,0.5,0,0)</f>
        <v/>
      </c>
      <c r="G163" s="40" t="inlineStr">
        <is>
          <t>系统基础信息录入</t>
        </is>
      </c>
      <c r="H163" s="40" t="inlineStr">
        <is>
          <t>保留期限为后续删除校验输入</t>
        </is>
      </c>
    </row>
    <row r="164">
      <c r="A164" s="39" t="inlineStr">
        <is>
          <t>ADMIN</t>
        </is>
      </c>
      <c r="B164" s="40" t="inlineStr">
        <is>
          <t>归档配置</t>
        </is>
      </c>
      <c r="C164" s="40" t="inlineStr">
        <is>
          <t>拉取源数据库表结构</t>
        </is>
      </c>
      <c r="D164" s="40" t="n">
        <v>4</v>
      </c>
      <c r="E164" s="40" t="inlineStr">
        <is>
          <t>1.5</t>
        </is>
      </c>
      <c r="F164" s="40">
        <f>SUM(2,0.5,2,0,2)</f>
        <v/>
      </c>
      <c r="G164" s="40" t="inlineStr">
        <is>
          <t>数据库连接信息配置（配置数据源）</t>
        </is>
      </c>
      <c r="H164" s="40" t="inlineStr">
        <is>
          <t>后端 JDBC 连接数据源动态拉取</t>
        </is>
      </c>
    </row>
    <row r="165">
      <c r="A165" s="39" t="inlineStr">
        <is>
          <t>ADMIN</t>
        </is>
      </c>
      <c r="B165" s="40" t="inlineStr">
        <is>
          <t>归档配置</t>
        </is>
      </c>
      <c r="C165" s="40" t="inlineStr">
        <is>
          <t>勾选需要备份的表【或上传同步表清单】</t>
        </is>
      </c>
      <c r="D165" s="40" t="n">
        <v>5</v>
      </c>
      <c r="E165" s="40" t="inlineStr">
        <is>
          <t>1.6</t>
        </is>
      </c>
      <c r="F165" s="40">
        <f>SUM(0,0.5,0.5,0,0)</f>
        <v/>
      </c>
      <c r="G165" s="40" t="inlineStr">
        <is>
          <t>拉取源数据库表结构</t>
        </is>
      </c>
      <c r="H165" s="40" t="inlineStr">
        <is>
          <t>勾选与上传清单同一界面；上传为 Excel 模板可选增强</t>
        </is>
      </c>
    </row>
    <row r="166">
      <c r="A166" s="39" t="inlineStr">
        <is>
          <t>ADMIN</t>
        </is>
      </c>
      <c r="B166" s="40" t="inlineStr">
        <is>
          <t>归档配置</t>
        </is>
      </c>
      <c r="C166" s="40" t="inlineStr">
        <is>
          <t>敏感字段标识</t>
        </is>
      </c>
      <c r="D166" s="40" t="n">
        <v>4</v>
      </c>
      <c r="E166" s="40" t="inlineStr">
        <is>
          <t>1.7</t>
        </is>
      </c>
      <c r="F166" s="40">
        <f>SUM(0,0.5,1,0,0)</f>
        <v/>
      </c>
      <c r="G166" s="40" t="inlineStr">
        <is>
          <t>拉取源数据库表结构</t>
        </is>
      </c>
      <c r="H166" s="40" t="inlineStr">
        <is>
          <t>获取 Key Vault 密钥，使用 RIMS 统一加密算法</t>
        </is>
      </c>
    </row>
    <row r="167">
      <c r="A167" s="39" t="inlineStr">
        <is>
          <t>ADMIN</t>
        </is>
      </c>
      <c r="B167" s="40" t="inlineStr">
        <is>
          <t>归档配置</t>
        </is>
      </c>
      <c r="C167" s="40" t="inlineStr">
        <is>
          <t>配置转换字段：字段加解密规则</t>
        </is>
      </c>
      <c r="D167" s="40" t="n">
        <v>4</v>
      </c>
      <c r="E167" s="40" t="inlineStr">
        <is>
          <t>1.8</t>
        </is>
      </c>
      <c r="F167" s="40">
        <f>SUM(2,1,2,0,0)</f>
        <v/>
      </c>
      <c r="G167" s="40" t="inlineStr">
        <is>
          <t>敏感字段标识</t>
        </is>
      </c>
      <c r="H167" s="40" t="inlineStr">
        <is>
          <t>先解密源数据，再用 RIMS 密钥重新加密</t>
        </is>
      </c>
    </row>
    <row r="168">
      <c r="A168" s="39" t="inlineStr">
        <is>
          <t>ADMIN</t>
        </is>
      </c>
      <c r="B168" s="40" t="inlineStr">
        <is>
          <t>归档配置</t>
        </is>
      </c>
      <c r="C168" s="40" t="inlineStr">
        <is>
          <t>配置转换字段：数据脱敏规则</t>
        </is>
      </c>
      <c r="D168" s="40" t="n">
        <v>4</v>
      </c>
      <c r="E168" s="40" t="inlineStr">
        <is>
          <t>1.9</t>
        </is>
      </c>
      <c r="F168" s="40">
        <f>SUM(1,2,0,0,0)</f>
        <v/>
      </c>
      <c r="G168" s="40" t="inlineStr">
        <is>
          <t>敏感字段标识</t>
        </is>
      </c>
      <c r="H168" s="40" t="n"/>
    </row>
    <row r="169">
      <c r="A169" s="39" t="inlineStr">
        <is>
          <t>ADMIN</t>
        </is>
      </c>
      <c r="B169" s="40" t="inlineStr">
        <is>
          <t>归档配置</t>
        </is>
      </c>
      <c r="C169" s="40" t="inlineStr">
        <is>
          <t>配置转换字段：附件 URL 转换规则</t>
        </is>
      </c>
      <c r="D169" s="40" t="n">
        <v>4</v>
      </c>
      <c r="E169" s="40" t="inlineStr">
        <is>
          <t>1.10</t>
        </is>
      </c>
      <c r="F169" s="40">
        <f>SUM(1,1,0,0,0)</f>
        <v/>
      </c>
      <c r="G169" s="40" t="inlineStr">
        <is>
          <t>敏感字段标识</t>
        </is>
      </c>
      <c r="H169" s="40" t="inlineStr">
        <is>
          <t>源附件路径 → 归档 Blob 新路径映射</t>
        </is>
      </c>
    </row>
    <row r="170">
      <c r="A170" s="39" t="inlineStr">
        <is>
          <t>ADMIN</t>
        </is>
      </c>
      <c r="B170" s="40" t="inlineStr">
        <is>
          <t>归档配置</t>
        </is>
      </c>
      <c r="C170" s="40" t="inlineStr">
        <is>
          <t>生成 ETL 配置</t>
        </is>
      </c>
      <c r="D170" s="40" t="n">
        <v>5</v>
      </c>
      <c r="E170" s="40" t="inlineStr">
        <is>
          <t>1.11</t>
        </is>
      </c>
      <c r="F170" s="40">
        <f>SUM(1,3,1,0,0)</f>
        <v/>
      </c>
      <c r="G170" s="40" t="inlineStr">
        <is>
          <t>勾选需要备份的表【或上传同步表清单】、配置转换字段</t>
        </is>
      </c>
      <c r="H170" s="40" t="inlineStr">
        <is>
          <t>按配置自动生成抽取/转换任务</t>
        </is>
      </c>
    </row>
    <row r="171">
      <c r="A171" s="39" t="inlineStr">
        <is>
          <t>ADMIN</t>
        </is>
      </c>
      <c r="B171" s="40" t="inlineStr">
        <is>
          <t>归档执行</t>
        </is>
      </c>
      <c r="C171" s="40" t="inlineStr">
        <is>
          <t>编写执行归档通用脚本</t>
        </is>
      </c>
      <c r="D171" s="40" t="n">
        <v>4</v>
      </c>
      <c r="E171" s="40" t="inlineStr">
        <is>
          <t>1.12</t>
        </is>
      </c>
      <c r="F171" s="40">
        <f>SUM(1,0,0,8,6)</f>
        <v/>
      </c>
      <c r="G171" s="40" t="inlineStr">
        <is>
          <t>生成 ETL 配置</t>
        </is>
      </c>
      <c r="H171" s="40" t="inlineStr">
        <is>
          <t>根据配置生成执行脚本，Databricks 同步数据</t>
        </is>
      </c>
    </row>
    <row r="172">
      <c r="A172" s="39" t="inlineStr">
        <is>
          <t>ADMIN</t>
        </is>
      </c>
      <c r="B172" s="40" t="inlineStr">
        <is>
          <t>归档执行</t>
        </is>
      </c>
      <c r="C172" s="40" t="inlineStr">
        <is>
          <t>执行 CC 系统的归档</t>
        </is>
      </c>
      <c r="D172" s="40" t="n">
        <v>4</v>
      </c>
      <c r="E172" s="40" t="inlineStr">
        <is>
          <t>1.13</t>
        </is>
      </c>
      <c r="F172" s="40">
        <f>SUM(0,0,0,5,0)</f>
        <v/>
      </c>
      <c r="G172" s="40" t="inlineStr">
        <is>
          <t>编写执行归档通用脚本</t>
        </is>
      </c>
      <c r="H172" s="40" t="inlineStr">
        <is>
          <t>测试迁移系统：Caring Center</t>
        </is>
      </c>
    </row>
    <row r="173">
      <c r="A173" s="39" t="inlineStr">
        <is>
          <t>ADMIN</t>
        </is>
      </c>
      <c r="B173" s="40" t="inlineStr">
        <is>
          <t>归档执行</t>
        </is>
      </c>
      <c r="C173" s="40" t="inlineStr">
        <is>
          <t>归档批次管理（UI）</t>
        </is>
      </c>
      <c r="D173" s="40" t="n">
        <v>4</v>
      </c>
      <c r="E173" s="40" t="inlineStr">
        <is>
          <t>1.14</t>
        </is>
      </c>
      <c r="F173" s="40">
        <f>SUM(0,0.5,2,0,0)</f>
        <v/>
      </c>
      <c r="G173" s="40" t="inlineStr">
        <is>
          <t>执行 CC 系统的归档</t>
        </is>
      </c>
      <c r="H173" s="40" t="n"/>
    </row>
    <row r="174">
      <c r="A174" s="39" t="inlineStr">
        <is>
          <t>ADMIN</t>
        </is>
      </c>
      <c r="B174" s="40" t="inlineStr">
        <is>
          <t>归档执行</t>
        </is>
      </c>
      <c r="C174" s="40" t="inlineStr">
        <is>
          <t>查看归档结果</t>
        </is>
      </c>
      <c r="D174" s="40" t="n">
        <v>3</v>
      </c>
      <c r="E174" s="40" t="inlineStr">
        <is>
          <t>1.15</t>
        </is>
      </c>
      <c r="F174" s="40">
        <f>SUM(0,0.5,0.5,0,0)</f>
        <v/>
      </c>
      <c r="G174" s="40" t="inlineStr">
        <is>
          <t>执行 CC 系统的归档</t>
        </is>
      </c>
      <c r="H174" s="40" t="n"/>
    </row>
    <row r="175">
      <c r="A175" s="39" t="inlineStr">
        <is>
          <t>ADMIN</t>
        </is>
      </c>
      <c r="B175" s="40" t="inlineStr">
        <is>
          <t>归档执行</t>
        </is>
      </c>
      <c r="C175" s="40" t="inlineStr">
        <is>
          <t>失败重试</t>
        </is>
      </c>
      <c r="D175" s="40" t="n">
        <v>4</v>
      </c>
      <c r="E175" s="40" t="inlineStr">
        <is>
          <t>1.16</t>
        </is>
      </c>
      <c r="F175" s="40">
        <f>SUM(0,0.5,0.5,1,0)</f>
        <v/>
      </c>
      <c r="G175" s="40" t="inlineStr">
        <is>
          <t>查看归档结果</t>
        </is>
      </c>
      <c r="H175" s="40" t="inlineStr">
        <is>
          <t>断点续传/批次级重跑</t>
        </is>
      </c>
    </row>
    <row r="176">
      <c r="A176" s="39" t="inlineStr">
        <is>
          <t>ADMIN</t>
        </is>
      </c>
      <c r="B176" s="40" t="inlineStr">
        <is>
          <t>附件迁移</t>
        </is>
      </c>
      <c r="C176" s="40" t="inlineStr">
        <is>
          <t>配置源系统 Blob 信息、迁移目录、文件类型</t>
        </is>
      </c>
      <c r="D176" s="40" t="n">
        <v>5</v>
      </c>
      <c r="E176" s="40" t="inlineStr">
        <is>
          <t>1.17</t>
        </is>
      </c>
      <c r="F176" s="40">
        <f>SUM(0.5,1,0.5,0,0.5)</f>
        <v/>
      </c>
      <c r="G176" s="40" t="inlineStr">
        <is>
          <t>系统基础信息录入</t>
        </is>
      </c>
      <c r="H176" s="40" t="n"/>
    </row>
    <row r="177">
      <c r="A177" s="39" t="inlineStr">
        <is>
          <t>ADMIN</t>
        </is>
      </c>
      <c r="B177" s="40" t="inlineStr">
        <is>
          <t>附件迁移</t>
        </is>
      </c>
      <c r="C177" s="40" t="inlineStr">
        <is>
          <t>执行迁移任务</t>
        </is>
      </c>
      <c r="D177" s="40" t="n">
        <v>4</v>
      </c>
      <c r="E177" s="40" t="inlineStr">
        <is>
          <t>1.18</t>
        </is>
      </c>
      <c r="F177" s="40">
        <f>SUM(0,0,0.5,1,0)</f>
        <v/>
      </c>
      <c r="G177" s="40" t="inlineStr">
        <is>
          <t>配置源系统 Blob 信息、迁移目录、文件类型</t>
        </is>
      </c>
      <c r="H177" s="40" t="inlineStr">
        <is>
          <t>Azure Storage Mover</t>
        </is>
      </c>
    </row>
    <row r="178">
      <c r="A178" s="39" t="inlineStr">
        <is>
          <t>ADMIN</t>
        </is>
      </c>
      <c r="B178" s="40" t="inlineStr">
        <is>
          <t>动态查询配置</t>
        </is>
      </c>
      <c r="C178" s="40" t="inlineStr">
        <is>
          <t>动态查询页面配置（Dynamic Query）</t>
        </is>
      </c>
      <c r="D178" s="40" t="n">
        <v>7</v>
      </c>
      <c r="E178" s="40" t="inlineStr">
        <is>
          <t>1.19</t>
        </is>
      </c>
      <c r="F178" s="40">
        <f>SUM(2,2,3,0,2)</f>
        <v/>
      </c>
      <c r="G178" s="40" t="inlineStr">
        <is>
          <t>查看归档结果、执行迁移任务</t>
        </is>
      </c>
      <c r="H178" s="40" t="inlineStr">
        <is>
          <t>配置列表+详情查询范围，提供给 End User 直接查询；不含报表/审批流</t>
        </is>
      </c>
    </row>
    <row r="179">
      <c r="A179" s="39" t="inlineStr">
        <is>
          <t>ADMIN</t>
        </is>
      </c>
      <c r="B179" s="40" t="inlineStr">
        <is>
          <t>权限管理</t>
        </is>
      </c>
      <c r="C179" s="40" t="inlineStr">
        <is>
          <t>用户、角色、权限管理（设置角色权限）</t>
        </is>
      </c>
      <c r="D179" s="40" t="n">
        <v>6</v>
      </c>
      <c r="E179" s="40" t="inlineStr">
        <is>
          <t>1.20</t>
        </is>
      </c>
      <c r="F179" s="40">
        <f>SUM(2,2,0,0,0)</f>
        <v/>
      </c>
      <c r="G179" s="40" t="inlineStr">
        <is>
          <t>企业 SSO 集成</t>
        </is>
      </c>
      <c r="H179" s="40" t="inlineStr">
        <is>
          <t>来源系统与角色关联权限</t>
        </is>
      </c>
    </row>
    <row r="180">
      <c r="A180" s="39" t="inlineStr">
        <is>
          <t>ADMIN</t>
        </is>
      </c>
      <c r="B180" s="40" t="inlineStr">
        <is>
          <t>权限管理</t>
        </is>
      </c>
      <c r="C180" s="40" t="inlineStr">
        <is>
          <t>权限操作日志</t>
        </is>
      </c>
      <c r="D180" s="40" t="n">
        <v>3</v>
      </c>
      <c r="E180" s="40" t="inlineStr">
        <is>
          <t>1.21</t>
        </is>
      </c>
      <c r="F180" s="40">
        <f>SUM(0,0,0.5,0,0)</f>
        <v/>
      </c>
      <c r="G180" s="40" t="inlineStr">
        <is>
          <t>用户、角色、权限管理（设置角色权限）</t>
        </is>
      </c>
      <c r="H180" s="40" t="inlineStr">
        <is>
          <t>记录权限变更日志</t>
        </is>
      </c>
    </row>
    <row r="181">
      <c r="A181" s="39" t="inlineStr">
        <is>
          <t>ADMIN</t>
        </is>
      </c>
      <c r="B181" s="40" t="inlineStr">
        <is>
          <t>生命周期管理</t>
        </is>
      </c>
      <c r="C181" s="40" t="inlineStr">
        <is>
          <t>保留期限校验</t>
        </is>
      </c>
      <c r="D181" s="40" t="n">
        <v>2</v>
      </c>
      <c r="E181" s="40" t="inlineStr">
        <is>
          <t>1.22</t>
        </is>
      </c>
      <c r="F181" s="40">
        <f>SUM(0,0,0.5,0,0)</f>
        <v/>
      </c>
      <c r="G181" s="40" t="inlineStr">
        <is>
          <t>数据保留期限设置、用户、角色、权限管理（设置角色权限）</t>
        </is>
      </c>
      <c r="H181" s="40" t="inlineStr">
        <is>
          <t>根据配置的保留时间校验是否可删</t>
        </is>
      </c>
    </row>
    <row r="182">
      <c r="A182" s="39" t="inlineStr">
        <is>
          <t>ADMIN</t>
        </is>
      </c>
      <c r="B182" s="40" t="inlineStr">
        <is>
          <t>生命周期管理</t>
        </is>
      </c>
      <c r="C182" s="40" t="inlineStr">
        <is>
          <t>数据删除</t>
        </is>
      </c>
      <c r="D182" s="40" t="n">
        <v>5</v>
      </c>
      <c r="E182" s="40" t="inlineStr">
        <is>
          <t>1.23</t>
        </is>
      </c>
      <c r="F182" s="40">
        <f>SUM(1,1.5,2,2,2)</f>
        <v/>
      </c>
      <c r="G182" s="40" t="inlineStr">
        <is>
          <t>保留期限校验</t>
        </is>
      </c>
      <c r="H182" s="40" t="inlineStr">
        <is>
          <t>调用 Databricks Job 执行删除</t>
        </is>
      </c>
    </row>
    <row r="183">
      <c r="A183" s="39" t="inlineStr">
        <is>
          <t>ADMIN</t>
        </is>
      </c>
      <c r="B183" s="40" t="inlineStr">
        <is>
          <t>生命周期管理</t>
        </is>
      </c>
      <c r="C183" s="40" t="inlineStr">
        <is>
          <t>删除提示、删除日志记录</t>
        </is>
      </c>
      <c r="D183" s="40" t="n">
        <v>3</v>
      </c>
      <c r="E183" s="40" t="inlineStr">
        <is>
          <t>1.24</t>
        </is>
      </c>
      <c r="F183" s="40">
        <f>SUM(0,0.5,0.5,0,0)</f>
        <v/>
      </c>
      <c r="G183" s="40" t="inlineStr">
        <is>
          <t>数据删除</t>
        </is>
      </c>
      <c r="H183" s="40" t="inlineStr">
        <is>
          <t>多次提醒不可恢复并显示删除数据量</t>
        </is>
      </c>
    </row>
    <row r="184">
      <c r="A184" s="39" t="inlineStr">
        <is>
          <t>ADMIN</t>
        </is>
      </c>
      <c r="B184" s="40" t="inlineStr">
        <is>
          <t>归档系统查询</t>
        </is>
      </c>
      <c r="C184" s="40" t="inlineStr">
        <is>
          <t>按系统名称、业务时间查询</t>
        </is>
      </c>
      <c r="D184" s="40" t="n">
        <v>3</v>
      </c>
      <c r="E184" s="40" t="inlineStr">
        <is>
          <t>1.25</t>
        </is>
      </c>
      <c r="F184" s="40">
        <f>SUM(0.5,0.5,0.5,0,0.5)</f>
        <v/>
      </c>
      <c r="G184" s="40" t="inlineStr">
        <is>
          <t>归档批次管理（UI）</t>
        </is>
      </c>
      <c r="H184" s="40" t="inlineStr">
        <is>
          <t>管理视角：查"归档了哪些系统"</t>
        </is>
      </c>
    </row>
    <row r="185">
      <c r="A185" s="39" t="inlineStr">
        <is>
          <t>ADMIN</t>
        </is>
      </c>
      <c r="B185" s="40" t="inlineStr">
        <is>
          <t>归档系统查询</t>
        </is>
      </c>
      <c r="C185" s="40" t="inlineStr">
        <is>
          <t>归档批次展示</t>
        </is>
      </c>
      <c r="D185" s="40" t="n">
        <v>2</v>
      </c>
      <c r="E185" s="40" t="inlineStr">
        <is>
          <t>1.26</t>
        </is>
      </c>
      <c r="F185" s="40">
        <f>SUM(0,0.5,0.5,0,0)</f>
        <v/>
      </c>
      <c r="G185" s="40" t="inlineStr">
        <is>
          <t>按系统名称、业务时间查询</t>
        </is>
      </c>
      <c r="H185" s="40" t="n"/>
    </row>
    <row r="186">
      <c r="A186" s="39" t="inlineStr">
        <is>
          <t>ADMIN</t>
        </is>
      </c>
      <c r="B186" s="40" t="inlineStr">
        <is>
          <t>归档系统查询</t>
        </is>
      </c>
      <c r="C186" s="40" t="inlineStr">
        <is>
          <t>表结构查询</t>
        </is>
      </c>
      <c r="D186" s="40" t="n">
        <v>3</v>
      </c>
      <c r="E186" s="40" t="inlineStr">
        <is>
          <t>1.27</t>
        </is>
      </c>
      <c r="F186" s="40">
        <f>SUM(0,0.5,0.5,0,0)</f>
        <v/>
      </c>
      <c r="G186" s="40" t="inlineStr">
        <is>
          <t>拉取源数据库表结构</t>
        </is>
      </c>
      <c r="H186" s="40" t="n"/>
    </row>
    <row r="187">
      <c r="A187" s="39" t="inlineStr">
        <is>
          <t>ADMIN</t>
        </is>
      </c>
      <c r="B187" s="40" t="inlineStr">
        <is>
          <t>日志查询</t>
        </is>
      </c>
      <c r="C187" s="40" t="inlineStr">
        <is>
          <t>查询日志</t>
        </is>
      </c>
      <c r="D187" s="40" t="n">
        <v>3</v>
      </c>
      <c r="E187" s="40" t="inlineStr">
        <is>
          <t>1.28</t>
        </is>
      </c>
      <c r="F187" s="40">
        <f>SUM(0,0.5,0.5,0,0)</f>
        <v/>
      </c>
      <c r="G187" s="40" t="inlineStr">
        <is>
          <t>企业 SSO 集成</t>
        </is>
      </c>
      <c r="H187" s="40" t="inlineStr">
        <is>
          <t>查询行为日志（与 E2 查询联动记录）</t>
        </is>
      </c>
    </row>
    <row r="188">
      <c r="A188" s="43" t="inlineStr">
        <is>
          <t>End User</t>
        </is>
      </c>
      <c r="B188" s="40" t="inlineStr">
        <is>
          <t>登录</t>
        </is>
      </c>
      <c r="C188" s="40" t="inlineStr">
        <is>
          <t>登录（复用 ADMIN SSO）</t>
        </is>
      </c>
      <c r="D188" s="40" t="n">
        <v>2</v>
      </c>
      <c r="E188" s="40" t="inlineStr">
        <is>
          <t>2.29</t>
        </is>
      </c>
      <c r="F188" s="40">
        <f>SUM(0,0,0,0,0)</f>
        <v/>
      </c>
      <c r="G188" s="40" t="inlineStr">
        <is>
          <t>企业 SSO 集成</t>
        </is>
      </c>
      <c r="H188" s="40" t="inlineStr">
        <is>
          <t>SSO 集成已计入 ADMIN 步骤 1</t>
        </is>
      </c>
    </row>
    <row r="189">
      <c r="A189" s="43" t="inlineStr">
        <is>
          <t>End User</t>
        </is>
      </c>
      <c r="B189" s="40" t="inlineStr">
        <is>
          <t>归档数据查询</t>
        </is>
      </c>
      <c r="C189" s="40" t="inlineStr">
        <is>
          <t>列表展示（按已配置的 Dynamic Query）</t>
        </is>
      </c>
      <c r="D189" s="40" t="n">
        <v>4</v>
      </c>
      <c r="E189" s="40" t="inlineStr">
        <is>
          <t>2.30</t>
        </is>
      </c>
      <c r="F189" s="40">
        <f>SUM(0,1,1,1,0)</f>
        <v/>
      </c>
      <c r="G189" s="40" t="inlineStr">
        <is>
          <t>动态查询页面配置、用户、角色、权限管理（设置角色权限）</t>
        </is>
      </c>
      <c r="H189" s="40" t="inlineStr">
        <is>
          <t>使用管理员配置的查询范围</t>
        </is>
      </c>
    </row>
    <row r="190">
      <c r="A190" s="43" t="inlineStr">
        <is>
          <t>End User</t>
        </is>
      </c>
      <c r="B190" s="40" t="inlineStr">
        <is>
          <t>归档数据查询</t>
        </is>
      </c>
      <c r="C190" s="40" t="inlineStr">
        <is>
          <t>详情展示</t>
        </is>
      </c>
      <c r="D190" s="40" t="n">
        <v>2</v>
      </c>
      <c r="E190" s="40" t="inlineStr">
        <is>
          <t>2.31</t>
        </is>
      </c>
      <c r="F190" s="40">
        <f>SUM(0,1,1,1,0)</f>
        <v/>
      </c>
      <c r="G190" s="40" t="inlineStr">
        <is>
          <t>列表展示（按已配置的 Dynamic Query）</t>
        </is>
      </c>
      <c r="H190" s="40" t="n"/>
    </row>
    <row r="191">
      <c r="A191" s="43" t="inlineStr">
        <is>
          <t>End User</t>
        </is>
      </c>
      <c r="B191" s="40" t="inlineStr">
        <is>
          <t>归档数据查询</t>
        </is>
      </c>
      <c r="C191" s="40" t="inlineStr">
        <is>
          <t>附件展示</t>
        </is>
      </c>
      <c r="D191" s="40" t="n">
        <v>4</v>
      </c>
      <c r="E191" s="40" t="inlineStr">
        <is>
          <t>2.32</t>
        </is>
      </c>
      <c r="F191" s="40">
        <f>SUM(0,1,2,0,0)</f>
        <v/>
      </c>
      <c r="G191" s="40" t="inlineStr">
        <is>
          <t>详情展示、执行迁移任务</t>
        </is>
      </c>
      <c r="H191" s="40" t="inlineStr">
        <is>
          <t>SAS 链接直连预览/下载</t>
        </is>
      </c>
    </row>
    <row r="192">
      <c r="A192" s="45" t="inlineStr">
        <is>
          <t>工程支撑</t>
        </is>
      </c>
      <c r="B192" s="40" t="inlineStr">
        <is>
          <t>DevOps 流水线</t>
        </is>
      </c>
      <c r="C192" s="40" t="inlineStr">
        <is>
          <t>资源申请</t>
        </is>
      </c>
      <c r="D192" s="40" t="n">
        <v>3</v>
      </c>
      <c r="E192" s="40" t="inlineStr">
        <is>
          <t>3.33</t>
        </is>
      </c>
      <c r="F192" s="40">
        <f>SUM(0,0,2,0,0)</f>
        <v/>
      </c>
      <c r="G192" s="40" t="inlineStr">
        <is>
          <t>—</t>
        </is>
      </c>
      <c r="H192" s="40" t="inlineStr">
        <is>
          <t>平台团队协同</t>
        </is>
      </c>
    </row>
    <row r="193">
      <c r="A193" s="45" t="inlineStr">
        <is>
          <t>工程支撑</t>
        </is>
      </c>
      <c r="B193" s="40" t="inlineStr">
        <is>
          <t>DevOps 流水线</t>
        </is>
      </c>
      <c r="C193" s="40" t="inlineStr">
        <is>
          <t>流水线代码编写</t>
        </is>
      </c>
      <c r="D193" s="40" t="n">
        <v>4</v>
      </c>
      <c r="E193" s="40" t="inlineStr">
        <is>
          <t>3.34</t>
        </is>
      </c>
      <c r="F193" s="40">
        <f>SUM(0,0,1,0,0)</f>
        <v/>
      </c>
      <c r="G193" s="40" t="inlineStr">
        <is>
          <t>资源申请</t>
        </is>
      </c>
      <c r="H193" s="40" t="inlineStr">
        <is>
          <t>Azure DevOps CI/CD</t>
        </is>
      </c>
    </row>
    <row r="194">
      <c r="A194" s="45" t="inlineStr">
        <is>
          <t>工程支撑</t>
        </is>
      </c>
      <c r="B194" s="40" t="inlineStr">
        <is>
          <t>DevOps 流水线</t>
        </is>
      </c>
      <c r="C194" s="40" t="inlineStr">
        <is>
          <t>云资源集成测试</t>
        </is>
      </c>
      <c r="D194" s="40" t="n">
        <v>5</v>
      </c>
      <c r="E194" s="40" t="inlineStr">
        <is>
          <t>3.35</t>
        </is>
      </c>
      <c r="F194" s="40">
        <f>SUM(0,0,1,0,0)</f>
        <v/>
      </c>
      <c r="G194" s="40" t="inlineStr">
        <is>
          <t>资源申请、流水线代码编写</t>
        </is>
      </c>
      <c r="H194" s="40" t="n"/>
    </row>
    <row r="195">
      <c r="A195" s="45" t="inlineStr">
        <is>
          <t>工程支撑</t>
        </is>
      </c>
      <c r="B195" s="40" t="inlineStr">
        <is>
          <t>SLC 文档</t>
        </is>
      </c>
      <c r="C195" s="40" t="inlineStr">
        <is>
          <t>ADD（架构与设计文档）</t>
        </is>
      </c>
      <c r="D195" s="40" t="n">
        <v>2</v>
      </c>
      <c r="E195" s="40" t="inlineStr">
        <is>
          <t>3.36</t>
        </is>
      </c>
      <c r="F195" s="40">
        <f>SUM(0,0,2,0,0)</f>
        <v/>
      </c>
      <c r="G195" s="40" t="inlineStr">
        <is>
          <t>资源申请</t>
        </is>
      </c>
      <c r="H195" s="40" t="n"/>
    </row>
    <row r="196">
      <c r="A196" s="45" t="inlineStr">
        <is>
          <t>工程支撑</t>
        </is>
      </c>
      <c r="B196" s="40" t="inlineStr">
        <is>
          <t>SLC 文档</t>
        </is>
      </c>
      <c r="C196" s="40" t="inlineStr">
        <is>
          <t>SDD（Database/Detailed/Interface）</t>
        </is>
      </c>
      <c r="D196" s="40" t="n">
        <v>4</v>
      </c>
      <c r="E196" s="40" t="inlineStr">
        <is>
          <t>3.37</t>
        </is>
      </c>
      <c r="F196" s="40">
        <f>SUM(0,0,3,0,0)</f>
        <v/>
      </c>
      <c r="G196" s="40" t="inlineStr">
        <is>
          <t>ADD（架构与设计文档）</t>
        </is>
      </c>
      <c r="H196" s="40" t="n"/>
    </row>
    <row r="197">
      <c r="A197" s="45" t="inlineStr">
        <is>
          <t>工程支撑</t>
        </is>
      </c>
      <c r="B197" s="40" t="inlineStr">
        <is>
          <t>SLC 文档</t>
        </is>
      </c>
      <c r="C197" s="40" t="inlineStr">
        <is>
          <t>IQ Test Pre / IQ Test Post</t>
        </is>
      </c>
      <c r="D197" s="40" t="n">
        <v>4</v>
      </c>
      <c r="E197" s="40" t="inlineStr">
        <is>
          <t>3.38</t>
        </is>
      </c>
      <c r="F197" s="40">
        <f>SUM(0,0,0,0,2)</f>
        <v/>
      </c>
      <c r="G197" s="40" t="inlineStr">
        <is>
          <t>SDD（Database/Detailed/Interface）</t>
        </is>
      </c>
      <c r="H197" s="40" t="inlineStr">
        <is>
          <t>功能测试，不含文档</t>
        </is>
      </c>
    </row>
    <row r="198">
      <c r="A198" s="45" t="inlineStr">
        <is>
          <t>工程支撑</t>
        </is>
      </c>
      <c r="B198" s="40" t="inlineStr">
        <is>
          <t>SLC 文档</t>
        </is>
      </c>
      <c r="C198" s="40" t="inlineStr">
        <is>
          <t>OQ（运行确认）</t>
        </is>
      </c>
      <c r="D198" s="40" t="n">
        <v>3</v>
      </c>
      <c r="E198" s="40" t="inlineStr">
        <is>
          <t>3.39</t>
        </is>
      </c>
      <c r="F198" s="40">
        <f>SUM(0,0,0,0,2)</f>
        <v/>
      </c>
      <c r="G198" s="40" t="inlineStr">
        <is>
          <t>IQ Test Pre / IQ Test Post</t>
        </is>
      </c>
      <c r="H198" s="40" t="n"/>
    </row>
    <row r="199">
      <c r="A199" s="45" t="inlineStr">
        <is>
          <t>工程支撑</t>
        </is>
      </c>
      <c r="B199" s="40" t="inlineStr">
        <is>
          <t>SLC 文档</t>
        </is>
      </c>
      <c r="C199" s="40" t="inlineStr">
        <is>
          <t>IQ PROD Pre</t>
        </is>
      </c>
      <c r="D199" s="40" t="n">
        <v>3</v>
      </c>
      <c r="E199" s="40" t="inlineStr">
        <is>
          <t>3.40</t>
        </is>
      </c>
      <c r="F199" s="40">
        <f>SUM(0,0,0,0,1)</f>
        <v/>
      </c>
      <c r="G199" s="40" t="inlineStr">
        <is>
          <t>OQ（运行确认）</t>
        </is>
      </c>
      <c r="H199" s="40" t="n"/>
    </row>
  </sheetData>
  <autoFilter ref="A5:U154"/>
  <mergeCells count="4">
    <mergeCell ref="A1:U1"/>
    <mergeCell ref="A158:H158"/>
    <mergeCell ref="A3:U3"/>
    <mergeCell ref="A2:U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tabSelected="1" workbookViewId="0">
      <pane ySplit="3" topLeftCell="A4" activePane="bottomLeft" state="frozen"/>
      <selection pane="bottomLeft" activeCell="D5" sqref="D5"/>
    </sheetView>
  </sheetViews>
  <sheetFormatPr baseColWidth="8" defaultColWidth="9" defaultRowHeight="16.8"/>
  <cols>
    <col width="24" customWidth="1" min="1" max="1"/>
    <col width="32" customWidth="1" min="2" max="2"/>
    <col width="40" customWidth="1" min="3" max="3"/>
    <col width="32" customWidth="1" min="4" max="4"/>
    <col width="38" customWidth="1" min="5" max="5"/>
    <col width="18" customWidth="1" min="6" max="6"/>
    <col width="34" customWidth="1" min="7" max="7"/>
    <col width="42" customWidth="1" min="8" max="8"/>
  </cols>
  <sheetData>
    <row r="1" ht="19.2" customHeight="1">
      <c r="A1" s="1" t="inlineStr">
        <is>
          <t>《功能清单》× 现规划(业务场景.xlsx)对照表 · 范围=退役归档主线</t>
        </is>
      </c>
    </row>
    <row r="2">
      <c r="A2" s="2" t="n"/>
    </row>
    <row r="3" ht="34" customHeight="1">
      <c r="A3" s="53" t="inlineStr">
        <is>
          <t>功能清单·阶段</t>
        </is>
      </c>
      <c r="B3" s="53" t="inlineStr">
        <is>
          <t>功能模块</t>
        </is>
      </c>
      <c r="C3" s="53" t="inlineStr">
        <is>
          <t>业务场景(清单)</t>
        </is>
      </c>
      <c r="D3" s="53" t="inlineStr">
        <is>
          <t>关键功能</t>
        </is>
      </c>
      <c r="E3" s="53" t="inlineStr">
        <is>
          <t>具体功能</t>
        </is>
      </c>
      <c r="F3" s="53" t="inlineStr">
        <is>
          <t>现状(对照现规划)</t>
        </is>
      </c>
      <c r="G3" s="53" t="inlineStr">
        <is>
          <t>处理 / 去向</t>
        </is>
      </c>
      <c r="H3" s="53" t="inlineStr">
        <is>
          <t>备注</t>
        </is>
      </c>
    </row>
    <row r="4" ht="36" customHeight="1">
      <c r="A4" s="54" t="inlineStr">
        <is>
          <t>Phase1：基础归档与查询</t>
        </is>
      </c>
      <c r="B4" s="54" t="inlineStr">
        <is>
          <t>模块 1：存量历史数据迁移与标准化</t>
        </is>
      </c>
      <c r="C4" s="54" t="inlineStr">
        <is>
          <t>退役系统历史数据全量入库归档</t>
        </is>
      </c>
      <c r="D4" s="54" t="inlineStr">
        <is>
          <t>历史数据批量导入</t>
        </is>
      </c>
      <c r="E4" s="54" t="inlineStr">
        <is>
          <t>结构化历史数据批量导入</t>
        </is>
      </c>
      <c r="F4" s="54" t="inlineStr">
        <is>
          <t>已覆盖</t>
        </is>
      </c>
      <c r="G4" s="54" t="inlineStr">
        <is>
          <t>现规划内（已计入 120.5 人天）</t>
        </is>
      </c>
      <c r="H4" s="54" t="inlineStr">
        <is>
          <t>现规划经 勾选表→ETL/归档执行 结构化入库</t>
        </is>
      </c>
    </row>
    <row r="5" ht="36" customHeight="1">
      <c r="A5" s="54" t="inlineStr">
        <is>
          <t>Phase1：基础归档与查询</t>
        </is>
      </c>
      <c r="B5" s="54" t="inlineStr">
        <is>
          <t>模块 1：存量历史数据迁移与标准化</t>
        </is>
      </c>
      <c r="C5" s="54" t="inlineStr">
        <is>
          <t>退役系统历史数据全量入库归档</t>
        </is>
      </c>
      <c r="D5" s="54" t="inlineStr">
        <is>
          <t>历史数据批量导入</t>
        </is>
      </c>
      <c r="E5" s="54" t="inlineStr">
        <is>
          <t>非结构化文件及离线包批量导入</t>
        </is>
      </c>
      <c r="F5" s="55" t="inlineStr">
        <is>
          <t>未覆盖</t>
        </is>
      </c>
      <c r="G5" s="54" t="inlineStr">
        <is>
          <t>二期 / 后续（本次确认：缓/后期）</t>
        </is>
      </c>
      <c r="H5" s="54" t="inlineStr">
        <is>
          <t>在线附件迁移已含；离线介质/压缩包批量导入为二期增强</t>
        </is>
      </c>
    </row>
    <row r="6" ht="36" customHeight="1">
      <c r="A6" s="54" t="inlineStr">
        <is>
          <t>Phase1：基础归档与查询</t>
        </is>
      </c>
      <c r="B6" s="54" t="inlineStr">
        <is>
          <t>模块 1：存量历史数据迁移与标准化</t>
        </is>
      </c>
      <c r="C6" s="54" t="inlineStr">
        <is>
          <t>退役系统历史数据全量入库归档</t>
        </is>
      </c>
      <c r="D6" s="54" t="inlineStr">
        <is>
          <t>迁移规则配置</t>
        </is>
      </c>
      <c r="E6" s="54" t="inlineStr">
        <is>
          <t>数据导入规则配置</t>
        </is>
      </c>
      <c r="F6" s="54" t="inlineStr">
        <is>
          <t>已覆盖</t>
        </is>
      </c>
      <c r="G6" s="54" t="inlineStr">
        <is>
          <t>现规划内（已计入 120.5 人天）</t>
        </is>
      </c>
      <c r="H6" s="54" t="inlineStr">
        <is>
          <t>转换/脱敏/附件URL/ETL 规则配置已含</t>
        </is>
      </c>
    </row>
    <row r="7" ht="36" customHeight="1">
      <c r="A7" s="54" t="inlineStr">
        <is>
          <t>Phase1：基础归档与查询</t>
        </is>
      </c>
      <c r="B7" s="54" t="inlineStr">
        <is>
          <t>模块 1：存量历史数据迁移与标准化</t>
        </is>
      </c>
      <c r="C7" s="54" t="inlineStr">
        <is>
          <t>退役系统历史数据全量入库归档</t>
        </is>
      </c>
      <c r="D7" s="54" t="inlineStr">
        <is>
          <t>迁移任务管理</t>
        </is>
      </c>
      <c r="E7" s="54" t="inlineStr">
        <is>
          <t>导入任务调度与监控</t>
        </is>
      </c>
      <c r="F7" s="54" t="inlineStr">
        <is>
          <t>已覆盖</t>
        </is>
      </c>
      <c r="G7" s="54" t="inlineStr">
        <is>
          <t>现规划内（已计入 120.5 人天）</t>
        </is>
      </c>
      <c r="H7" s="54" t="inlineStr">
        <is>
          <t>归档执行/批次管理/结果查看/失败重试已含</t>
        </is>
      </c>
    </row>
    <row r="8" ht="36" customHeight="1">
      <c r="A8" s="54" t="inlineStr">
        <is>
          <t>Phase1：基础归档与查询</t>
        </is>
      </c>
      <c r="B8" s="54" t="inlineStr">
        <is>
          <t>模块 1：存量历史数据迁移与标准化</t>
        </is>
      </c>
      <c r="C8" s="54" t="inlineStr">
        <is>
          <t>确保迁移过程数据完整可追溯</t>
        </is>
      </c>
      <c r="D8" s="54" t="inlineStr">
        <is>
          <t>迁移完整性校验</t>
        </is>
      </c>
      <c r="E8" s="54" t="inlineStr">
        <is>
          <t>迁移前完整性基准记录</t>
        </is>
      </c>
      <c r="F8" s="55" t="inlineStr">
        <is>
          <t>未覆盖</t>
        </is>
      </c>
      <c r="G8" s="54" t="inlineStr">
        <is>
          <t>二期 / 后续（本次确认：缓/后期）</t>
        </is>
      </c>
      <c r="H8" s="54" t="inlineStr">
        <is>
          <t>二期·迁移完整性（迁移前基准记录）</t>
        </is>
      </c>
    </row>
    <row r="9" ht="36" customHeight="1">
      <c r="A9" s="54" t="inlineStr">
        <is>
          <t>Phase1：基础归档与查询</t>
        </is>
      </c>
      <c r="B9" s="54" t="inlineStr">
        <is>
          <t>模块 1：存量历史数据迁移与标准化</t>
        </is>
      </c>
      <c r="C9" s="54" t="inlineStr">
        <is>
          <t>确保迁移过程数据完整可追溯</t>
        </is>
      </c>
      <c r="D9" s="54" t="inlineStr">
        <is>
          <t>迁移完整性校验</t>
        </is>
      </c>
      <c r="E9" s="54" t="inlineStr">
        <is>
          <t>迁移后完整性比对</t>
        </is>
      </c>
      <c r="F9" s="55" t="inlineStr">
        <is>
          <t>未覆盖</t>
        </is>
      </c>
      <c r="G9" s="54" t="inlineStr">
        <is>
          <t>二期 / 后续（本次确认：缓/后期）</t>
        </is>
      </c>
      <c r="H9" s="54" t="inlineStr">
        <is>
          <t>二期·迁移完整性（迁移后比对）</t>
        </is>
      </c>
    </row>
    <row r="10" ht="36" customHeight="1">
      <c r="A10" s="54" t="inlineStr">
        <is>
          <t>Phase1：基础归档与查询</t>
        </is>
      </c>
      <c r="B10" s="54" t="inlineStr">
        <is>
          <t>模块 1：存量历史数据迁移与标准化</t>
        </is>
      </c>
      <c r="C10" s="54" t="inlineStr">
        <is>
          <t>确保迁移过程数据完整可追溯</t>
        </is>
      </c>
      <c r="D10" s="54" t="inlineStr">
        <is>
          <t>迁移完整性校验</t>
        </is>
      </c>
      <c r="E10" s="54" t="inlineStr">
        <is>
          <t>迁移一致性报告</t>
        </is>
      </c>
      <c r="F10" s="55" t="inlineStr">
        <is>
          <t>未覆盖</t>
        </is>
      </c>
      <c r="G10" s="54" t="inlineStr">
        <is>
          <t>二期 / 后续（本次确认：缓/后期）</t>
        </is>
      </c>
      <c r="H10" s="54" t="inlineStr">
        <is>
          <t>二期·迁移完整性（一致性报告）</t>
        </is>
      </c>
    </row>
    <row r="11" ht="36" customHeight="1">
      <c r="A11" s="54" t="inlineStr">
        <is>
          <t>Phase1：基础归档与查询</t>
        </is>
      </c>
      <c r="B11" s="54" t="inlineStr">
        <is>
          <t>模块 3：记录归档与档案全生命周期管理</t>
        </is>
      </c>
      <c r="C11" s="54" t="inlineStr">
        <is>
          <t>异构数据统一归档至标准档案模型</t>
        </is>
      </c>
      <c r="D11" s="54" t="inlineStr">
        <is>
          <t>标准归档模型管理</t>
        </is>
      </c>
      <c r="E11" s="54" t="inlineStr">
        <is>
          <t>标准归档对象定义</t>
        </is>
      </c>
      <c r="F11" s="54" t="inlineStr">
        <is>
          <t>已覆盖</t>
        </is>
      </c>
      <c r="G11" s="54" t="inlineStr">
        <is>
          <t>现规划内（已计入 120.5 人天）</t>
        </is>
      </c>
      <c r="H11" s="54" t="inlineStr">
        <is>
          <t>归档对象/归档集(r_archive_set)等已建模</t>
        </is>
      </c>
    </row>
    <row r="12" ht="36" customHeight="1">
      <c r="A12" s="54" t="inlineStr">
        <is>
          <t>Phase1：基础归档与查询</t>
        </is>
      </c>
      <c r="B12" s="54" t="inlineStr">
        <is>
          <t>模块 3：记录归档与档案全生命周期管理</t>
        </is>
      </c>
      <c r="C12" s="54" t="inlineStr">
        <is>
          <t>异构数据统一归档至标准档案模型</t>
        </is>
      </c>
      <c r="D12" s="54" t="inlineStr">
        <is>
          <t>标准归档模型管理</t>
        </is>
      </c>
      <c r="E12" s="54" t="inlineStr">
        <is>
          <t>归档目录结构管理</t>
        </is>
      </c>
      <c r="F12" s="56" t="inlineStr">
        <is>
          <t>非当前范围</t>
        </is>
      </c>
      <c r="G12" s="54" t="inlineStr">
        <is>
          <t>不适用退役归档 · 忽略</t>
        </is>
      </c>
      <c r="H12" s="54" t="inlineStr">
        <is>
          <t>传统档案目录/章节折叠夹，结构化归档不适用，忽略</t>
        </is>
      </c>
    </row>
    <row r="13" ht="36" customHeight="1">
      <c r="A13" s="54" t="inlineStr">
        <is>
          <t>Phase1：基础归档与查询</t>
        </is>
      </c>
      <c r="B13" s="54" t="inlineStr">
        <is>
          <t>模块 4：数据存储与境内数据安全管控</t>
        </is>
      </c>
      <c r="C13" s="54" t="inlineStr">
        <is>
          <t>满足数据不出境和本地化合规要求</t>
        </is>
      </c>
      <c r="D13" s="54" t="inlineStr">
        <is>
          <t>境内数据驻留管理</t>
        </is>
      </c>
      <c r="E13" s="54" t="inlineStr">
        <is>
          <t>境内数据驻留部署</t>
        </is>
      </c>
      <c r="F13" s="54" t="inlineStr">
        <is>
          <t>已覆盖</t>
        </is>
      </c>
      <c r="G13" s="54" t="inlineStr">
        <is>
          <t>现规划内（已计入 120.5 人天）</t>
        </is>
      </c>
      <c r="H13" s="54" t="inlineStr">
        <is>
          <t>Azure 中国境内部署</t>
        </is>
      </c>
    </row>
    <row r="14" ht="36" customHeight="1">
      <c r="A14" s="54" t="inlineStr">
        <is>
          <t>Phase1：基础归档与查询</t>
        </is>
      </c>
      <c r="B14" s="54" t="inlineStr">
        <is>
          <t>模块 4：数据存储与境内数据安全管控</t>
        </is>
      </c>
      <c r="C14" s="54" t="inlineStr">
        <is>
          <t>满足数据不出境和本地化合规要求</t>
        </is>
      </c>
      <c r="D14" s="54" t="inlineStr">
        <is>
          <t>数据加密与密钥管理</t>
        </is>
      </c>
      <c r="E14" s="54" t="inlineStr">
        <is>
          <t>数据加密存储</t>
        </is>
      </c>
      <c r="F14" s="54" t="inlineStr">
        <is>
          <t>已覆盖</t>
        </is>
      </c>
      <c r="G14" s="54" t="inlineStr">
        <is>
          <t>现规划内（已计入 120.5 人天）</t>
        </is>
      </c>
      <c r="H14" s="54" t="inlineStr">
        <is>
          <t>字段加解密 + 存储/传输加密</t>
        </is>
      </c>
    </row>
    <row r="15" ht="36" customHeight="1">
      <c r="A15" s="54" t="inlineStr">
        <is>
          <t>Phase1：基础归档与查询</t>
        </is>
      </c>
      <c r="B15" s="54" t="inlineStr">
        <is>
          <t>模块 4：数据存储与境内数据安全管控</t>
        </is>
      </c>
      <c r="C15" s="54" t="inlineStr">
        <is>
          <t>满足数据不出境和本地化合规要求</t>
        </is>
      </c>
      <c r="D15" s="54" t="inlineStr">
        <is>
          <t>数据加密与密钥管理</t>
        </is>
      </c>
      <c r="E15" s="54" t="inlineStr">
        <is>
          <t>密钥管理</t>
        </is>
      </c>
      <c r="F15" s="54" t="inlineStr">
        <is>
          <t>已覆盖</t>
        </is>
      </c>
      <c r="G15" s="54" t="inlineStr">
        <is>
          <t>现规划内（已计入 120.5 人天）</t>
        </is>
      </c>
      <c r="H15" s="54" t="inlineStr">
        <is>
          <t>Key Vault 密钥管理</t>
        </is>
      </c>
    </row>
    <row r="16" ht="36" customHeight="1">
      <c r="A16" s="54" t="inlineStr">
        <is>
          <t>Phase1：基础归档与查询</t>
        </is>
      </c>
      <c r="B16" s="54" t="inlineStr">
        <is>
          <t>模块 5：档案检索、智能发现与业务利用</t>
        </is>
      </c>
      <c r="C16" s="54" t="inlineStr">
        <is>
          <t>QA/IT人员日常基础数据查阅</t>
        </is>
      </c>
      <c r="D16" s="54" t="inlineStr">
        <is>
          <t>基础档案检索</t>
        </is>
      </c>
      <c r="E16" s="54" t="inlineStr">
        <is>
          <t>关键词检索</t>
        </is>
      </c>
      <c r="F16" s="55" t="inlineStr">
        <is>
          <t>未覆盖</t>
        </is>
      </c>
      <c r="G16" s="54" t="inlineStr">
        <is>
          <t>二期 / 后续（本次确认：缓/后期）</t>
        </is>
      </c>
      <c r="H16" s="54" t="inlineStr">
        <is>
          <t>结构化字段查询已有；跨档案 OCR 全文关键词为二期</t>
        </is>
      </c>
    </row>
    <row r="17" ht="36" customHeight="1">
      <c r="A17" s="54" t="inlineStr">
        <is>
          <t>Phase1：基础归档与查询</t>
        </is>
      </c>
      <c r="B17" s="54" t="inlineStr">
        <is>
          <t>模块 5：档案检索、智能发现与业务利用</t>
        </is>
      </c>
      <c r="C17" s="54" t="inlineStr">
        <is>
          <t>QA/IT人员日常基础数据查阅</t>
        </is>
      </c>
      <c r="D17" s="54" t="inlineStr">
        <is>
          <t>基础档案检索</t>
        </is>
      </c>
      <c r="E17" s="54" t="inlineStr">
        <is>
          <t>按系统名称检索</t>
        </is>
      </c>
      <c r="F17" s="54" t="inlineStr">
        <is>
          <t>已覆盖</t>
        </is>
      </c>
      <c r="G17" s="54" t="inlineStr">
        <is>
          <t>现规划内（已计入 120.5 人天）</t>
        </is>
      </c>
      <c r="H17" s="54" t="inlineStr">
        <is>
          <t>按系统检索已含</t>
        </is>
      </c>
    </row>
    <row r="18" ht="36" customHeight="1">
      <c r="A18" s="54" t="inlineStr">
        <is>
          <t>Phase1：基础归档与查询</t>
        </is>
      </c>
      <c r="B18" s="54" t="inlineStr">
        <is>
          <t>模块 5：档案检索、智能发现与业务利用</t>
        </is>
      </c>
      <c r="C18" s="54" t="inlineStr">
        <is>
          <t>QA/IT人员日常基础数据查阅</t>
        </is>
      </c>
      <c r="D18" s="54" t="inlineStr">
        <is>
          <t>基础档案检索</t>
        </is>
      </c>
      <c r="E18" s="54" t="inlineStr">
        <is>
          <t>按业务时间检索</t>
        </is>
      </c>
      <c r="F18" s="54" t="inlineStr">
        <is>
          <t>已覆盖</t>
        </is>
      </c>
      <c r="G18" s="54" t="inlineStr">
        <is>
          <t>现规划内（已计入 120.5 人天）</t>
        </is>
      </c>
      <c r="H18" s="54" t="inlineStr">
        <is>
          <t>按业务时间检索已含</t>
        </is>
      </c>
    </row>
    <row r="19" ht="36" customHeight="1">
      <c r="A19" s="54" t="inlineStr">
        <is>
          <t>Phase1：基础归档与查询</t>
        </is>
      </c>
      <c r="B19" s="54" t="inlineStr">
        <is>
          <t>模块 5：档案检索、智能发现与业务利用</t>
        </is>
      </c>
      <c r="C19" s="54" t="inlineStr">
        <is>
          <t>QA/IT人员日常基础数据查阅</t>
        </is>
      </c>
      <c r="D19" s="54" t="inlineStr">
        <is>
          <t>检索结果展示与预览</t>
        </is>
      </c>
      <c r="E19" s="54" t="inlineStr">
        <is>
          <t>检索结果列表展示</t>
        </is>
      </c>
      <c r="F19" s="54" t="inlineStr">
        <is>
          <t>已覆盖</t>
        </is>
      </c>
      <c r="G19" s="54" t="inlineStr">
        <is>
          <t>现规划内（已计入 120.5 人天）</t>
        </is>
      </c>
      <c r="H19" s="54" t="inlineStr">
        <is>
          <t>列表展示/排序/关键字段已含</t>
        </is>
      </c>
    </row>
    <row r="20" ht="36" customHeight="1">
      <c r="A20" s="54" t="inlineStr">
        <is>
          <t>Phase1：基础归档与查询</t>
        </is>
      </c>
      <c r="B20" s="54" t="inlineStr">
        <is>
          <t>模块 5：档案检索、智能发现与业务利用</t>
        </is>
      </c>
      <c r="C20" s="54" t="inlineStr">
        <is>
          <t>QA/IT人员日常基础数据查阅</t>
        </is>
      </c>
      <c r="D20" s="54" t="inlineStr">
        <is>
          <t>检索结果展示与预览</t>
        </is>
      </c>
      <c r="E20" s="54" t="inlineStr">
        <is>
          <t>原始文件在线预览</t>
        </is>
      </c>
      <c r="F20" s="54" t="inlineStr">
        <is>
          <t>已覆盖</t>
        </is>
      </c>
      <c r="G20" s="54" t="inlineStr">
        <is>
          <t>现规划内（已计入 120.5 人天）</t>
        </is>
      </c>
      <c r="H20" s="54" t="inlineStr">
        <is>
          <t>附件 SAS 直链在线预览</t>
        </is>
      </c>
    </row>
    <row r="21" ht="36" customHeight="1">
      <c r="A21" s="54" t="inlineStr">
        <is>
          <t>Phase1：基础归档与查询</t>
        </is>
      </c>
      <c r="B21" s="54" t="inlineStr">
        <is>
          <t>模块 6：合规管控、审计追踪与合规报表</t>
        </is>
      </c>
      <c r="C21" s="54" t="inlineStr">
        <is>
          <t>基础运维核查与简易审计调取</t>
        </is>
      </c>
      <c r="D21" s="54" t="inlineStr">
        <is>
          <t>用户操作审计追踪</t>
        </is>
      </c>
      <c r="E21" s="54" t="inlineStr">
        <is>
          <t>归档操作日志记录</t>
        </is>
      </c>
      <c r="F21" s="54" t="inlineStr">
        <is>
          <t>已覆盖</t>
        </is>
      </c>
      <c r="G21" s="54" t="inlineStr">
        <is>
          <t>现规划内（已计入 120.5 人天）</t>
        </is>
      </c>
      <c r="H21" s="54" t="inlineStr">
        <is>
          <t>审计日志(操作/删除)已含</t>
        </is>
      </c>
    </row>
    <row r="22" ht="36" customHeight="1">
      <c r="A22" s="54" t="inlineStr">
        <is>
          <t>Phase1：基础归档与查询</t>
        </is>
      </c>
      <c r="B22" s="54" t="inlineStr">
        <is>
          <t>模块 6：合规管控、审计追踪与合规报表</t>
        </is>
      </c>
      <c r="C22" s="54" t="inlineStr">
        <is>
          <t>基础运维核查与简易审计调取</t>
        </is>
      </c>
      <c r="D22" s="54" t="inlineStr">
        <is>
          <t>用户操作审计追踪</t>
        </is>
      </c>
      <c r="E22" s="54" t="inlineStr">
        <is>
          <t>查询操作日志记录</t>
        </is>
      </c>
      <c r="F22" s="54" t="inlineStr">
        <is>
          <t>已覆盖</t>
        </is>
      </c>
      <c r="G22" s="54" t="inlineStr">
        <is>
          <t>现规划内（已计入 120.5 人天）</t>
        </is>
      </c>
      <c r="H22" s="54" t="inlineStr">
        <is>
          <t>查询行为日志已含</t>
        </is>
      </c>
    </row>
    <row r="23" ht="36" customHeight="1">
      <c r="A23" s="54" t="inlineStr">
        <is>
          <t>Phase1：基础归档与查询</t>
        </is>
      </c>
      <c r="B23" s="54" t="inlineStr">
        <is>
          <t>模块 6：合规管控、审计追踪与合规报表</t>
        </is>
      </c>
      <c r="C23" s="54" t="inlineStr">
        <is>
          <t>基础运维核查与简易审计调取</t>
        </is>
      </c>
      <c r="D23" s="54" t="inlineStr">
        <is>
          <t>用户操作审计追踪</t>
        </is>
      </c>
      <c r="E23" s="54" t="inlineStr">
        <is>
          <t>导出操作日志记录</t>
        </is>
      </c>
      <c r="F23" s="55" t="inlineStr">
        <is>
          <t>未覆盖</t>
        </is>
      </c>
      <c r="G23" s="54" t="inlineStr">
        <is>
          <t>二期 / 后续（本次确认：缓/后期）</t>
        </is>
      </c>
      <c r="H23" s="54" t="inlineStr">
        <is>
          <t>二期·检索导出(导出操作日志)</t>
        </is>
      </c>
    </row>
    <row r="24" ht="36" customHeight="1">
      <c r="A24" s="54" t="inlineStr">
        <is>
          <t>Phase2：能力优化与冷数据承接</t>
        </is>
      </c>
      <c r="B24" s="54" t="inlineStr">
        <is>
          <t>模块 6：合规管控、审计追踪与合规报表</t>
        </is>
      </c>
      <c r="C24" s="54" t="inlineStr">
        <is>
          <t>退役系统归档数据统一台账</t>
        </is>
      </c>
      <c r="D24" s="54" t="inlineStr">
        <is>
          <t>归档统计与基础报表</t>
        </is>
      </c>
      <c r="E24" s="54" t="inlineStr">
        <is>
          <t>按系统统计归档数据量</t>
        </is>
      </c>
      <c r="F24" s="55" t="inlineStr">
        <is>
          <t>未覆盖</t>
        </is>
      </c>
      <c r="G24" s="54" t="inlineStr">
        <is>
          <t>二期 / 后续（本次确认：缓/后期）</t>
        </is>
      </c>
      <c r="H24" s="54" t="inlineStr">
        <is>
          <t>二期·归档统计台账(按系统)</t>
        </is>
      </c>
    </row>
    <row r="25" ht="36" customHeight="1">
      <c r="A25" s="54" t="inlineStr">
        <is>
          <t>Phase2：能力优化与冷数据承接</t>
        </is>
      </c>
      <c r="B25" s="54" t="inlineStr">
        <is>
          <t>模块 6：合规管控、审计追踪与合规报表</t>
        </is>
      </c>
      <c r="C25" s="54" t="inlineStr">
        <is>
          <t>退役系统归档数据统一台账</t>
        </is>
      </c>
      <c r="D25" s="54" t="inlineStr">
        <is>
          <t>归档统计与基础报表</t>
        </is>
      </c>
      <c r="E25" s="54" t="inlineStr">
        <is>
          <t>按时间统计归档数据量</t>
        </is>
      </c>
      <c r="F25" s="55" t="inlineStr">
        <is>
          <t>未覆盖</t>
        </is>
      </c>
      <c r="G25" s="54" t="inlineStr">
        <is>
          <t>二期 / 后续（本次确认：缓/后期）</t>
        </is>
      </c>
      <c r="H25" s="54" t="inlineStr">
        <is>
          <t>二期·归档统计台账(按时间)</t>
        </is>
      </c>
    </row>
    <row r="26" ht="36" customHeight="1">
      <c r="A26" s="54" t="inlineStr">
        <is>
          <t>Phase2：能力优化与冷数据承接</t>
        </is>
      </c>
      <c r="B26" s="54" t="inlineStr">
        <is>
          <t>模块 6：合规管控、审计追踪与合规报表</t>
        </is>
      </c>
      <c r="C26" s="54" t="inlineStr">
        <is>
          <t>退役系统归档数据统一台账</t>
        </is>
      </c>
      <c r="D26" s="54" t="inlineStr">
        <is>
          <t>归档统计与基础报表</t>
        </is>
      </c>
      <c r="E26" s="54" t="inlineStr">
        <is>
          <t>按数据类型统计归档量</t>
        </is>
      </c>
      <c r="F26" s="55" t="inlineStr">
        <is>
          <t>未覆盖</t>
        </is>
      </c>
      <c r="G26" s="54" t="inlineStr">
        <is>
          <t>二期 / 后续（本次确认：缓/后期）</t>
        </is>
      </c>
      <c r="H26" s="54" t="inlineStr">
        <is>
          <t>二期·归档统计台账(按类型)</t>
        </is>
      </c>
    </row>
    <row r="27" ht="36" customHeight="1">
      <c r="A27" s="54" t="inlineStr">
        <is>
          <t>Phase2：能力优化与冷数据承接</t>
        </is>
      </c>
      <c r="B27" s="54" t="inlineStr">
        <is>
          <t>模块 6：合规管控、审计追踪与合规报表</t>
        </is>
      </c>
      <c r="C27" s="54" t="inlineStr">
        <is>
          <t>退役系统归档数据统一台账</t>
        </is>
      </c>
      <c r="D27" s="54" t="inlineStr">
        <is>
          <t>归档统计与基础报表</t>
        </is>
      </c>
      <c r="E27" s="54" t="inlineStr">
        <is>
          <t>基础报表导出</t>
        </is>
      </c>
      <c r="F27" s="55" t="inlineStr">
        <is>
          <t>未覆盖</t>
        </is>
      </c>
      <c r="G27" s="54" t="inlineStr">
        <is>
          <t>二期 / 后续（本次确认：缓/后期）</t>
        </is>
      </c>
      <c r="H27" s="54" t="inlineStr">
        <is>
          <t>二期·台账报表导出</t>
        </is>
      </c>
    </row>
    <row r="28" ht="36" customHeight="1">
      <c r="A28" s="54" t="inlineStr">
        <is>
          <t>Phase1：基础归档与查询</t>
        </is>
      </c>
      <c r="B28" s="54" t="inlineStr">
        <is>
          <t>模块 8：系统全局治理、运维与监控</t>
        </is>
      </c>
      <c r="C28" s="54" t="inlineStr">
        <is>
          <t>基础运维核查与简易审计调取</t>
        </is>
      </c>
      <c r="D28" s="54" t="inlineStr">
        <is>
          <t>用户与角色管理</t>
        </is>
      </c>
      <c r="E28" s="54" t="inlineStr">
        <is>
          <t>基础角色权限配置</t>
        </is>
      </c>
      <c r="F28" s="54" t="inlineStr">
        <is>
          <t>已覆盖</t>
        </is>
      </c>
      <c r="G28" s="54" t="inlineStr">
        <is>
          <t>现规划内（已计入 120.5 人天）</t>
        </is>
      </c>
      <c r="H28" s="54" t="inlineStr">
        <is>
          <t>基础角色权限配置已含</t>
        </is>
      </c>
    </row>
    <row r="29" ht="36" customHeight="1">
      <c r="A29" s="54" t="inlineStr">
        <is>
          <t>Phase1：基础归档与查询</t>
        </is>
      </c>
      <c r="B29" s="54" t="inlineStr">
        <is>
          <t>模块 8：系统全局治理、运维与监控</t>
        </is>
      </c>
      <c r="C29" s="54" t="inlineStr">
        <is>
          <t>基础运维核查与简易审计调取</t>
        </is>
      </c>
      <c r="D29" s="54" t="inlineStr">
        <is>
          <t>用户与角色管理</t>
        </is>
      </c>
      <c r="E29" s="54" t="inlineStr">
        <is>
          <t>用户账号管理</t>
        </is>
      </c>
      <c r="F29" s="54" t="inlineStr">
        <is>
          <t>已覆盖</t>
        </is>
      </c>
      <c r="G29" s="54" t="inlineStr">
        <is>
          <t>现规划内（已计入 120.5 人天）</t>
        </is>
      </c>
      <c r="H29" s="54" t="inlineStr">
        <is>
          <t>用户账号管理已含</t>
        </is>
      </c>
    </row>
    <row r="30" ht="36" customHeight="1">
      <c r="A30" s="54" t="inlineStr">
        <is>
          <t>Phase1：基础归档与查询</t>
        </is>
      </c>
      <c r="B30" s="54" t="inlineStr">
        <is>
          <t>模块 8：系统全局治理、运维与监控</t>
        </is>
      </c>
      <c r="C30" s="54" t="inlineStr">
        <is>
          <t>企业用户统一身份认证与系统访问</t>
        </is>
      </c>
      <c r="D30" s="54" t="inlineStr">
        <is>
          <t>SSO 单点登录</t>
        </is>
      </c>
      <c r="E30" s="54" t="inlineStr">
        <is>
          <t>企业SSO集成</t>
        </is>
      </c>
      <c r="F30" s="54" t="inlineStr">
        <is>
          <t>已覆盖</t>
        </is>
      </c>
      <c r="G30" s="54" t="inlineStr">
        <is>
          <t>现规划内（已计入 120.5 人天）</t>
        </is>
      </c>
      <c r="H30" s="54" t="inlineStr">
        <is>
          <t>企业 SSO 集成已含</t>
        </is>
      </c>
    </row>
    <row r="31" ht="36" customHeight="1">
      <c r="A31" s="54" t="inlineStr">
        <is>
          <t>Phase1：基础归档与查询</t>
        </is>
      </c>
      <c r="B31" s="54" t="inlineStr">
        <is>
          <t>模块 8：系统全局治理、运维与监控</t>
        </is>
      </c>
      <c r="C31" s="54" t="inlineStr">
        <is>
          <t>企业用户统一身份认证与系统访问</t>
        </is>
      </c>
      <c r="D31" s="54" t="inlineStr">
        <is>
          <t>SSO 单点登录</t>
        </is>
      </c>
      <c r="E31" s="54" t="inlineStr">
        <is>
          <t>用户身份自动识别与关联</t>
        </is>
      </c>
      <c r="F31" s="54" t="inlineStr">
        <is>
          <t>已覆盖</t>
        </is>
      </c>
      <c r="G31" s="54" t="inlineStr">
        <is>
          <t>现规划内（已计入 120.5 人天）</t>
        </is>
      </c>
      <c r="H31" s="54" t="inlineStr">
        <is>
          <t>SSO 身份→用户/角色关联已含</t>
        </is>
      </c>
    </row>
    <row r="32" ht="36" customHeight="1">
      <c r="A32" s="54" t="inlineStr">
        <is>
          <t>Phase1：基础归档与查询</t>
        </is>
      </c>
      <c r="B32" s="54" t="inlineStr">
        <is>
          <t>模块 8：系统全局治理、运维与监控</t>
        </is>
      </c>
      <c r="C32" s="54" t="inlineStr">
        <is>
          <t>企业用户统一身份认证与系统访问</t>
        </is>
      </c>
      <c r="D32" s="54" t="inlineStr">
        <is>
          <t>SSO 单点登录</t>
        </is>
      </c>
      <c r="E32" s="54" t="inlineStr">
        <is>
          <t>登录状态与异常访问控制</t>
        </is>
      </c>
      <c r="F32" s="54" t="inlineStr">
        <is>
          <t>已覆盖</t>
        </is>
      </c>
      <c r="G32" s="54" t="inlineStr">
        <is>
          <t>现规划内（已计入 120.5 人天）</t>
        </is>
      </c>
      <c r="H32" s="54" t="inlineStr">
        <is>
          <t>登录状态/失效/异常访问基础控制已含</t>
        </is>
      </c>
    </row>
    <row r="33" ht="36" customHeight="1">
      <c r="A33" s="54" t="inlineStr">
        <is>
          <t>Phase1：基础归档与查询</t>
        </is>
      </c>
      <c r="B33" s="54" t="inlineStr">
        <is>
          <t>模块 2：实时数据接入与常态化数据治理</t>
        </is>
      </c>
      <c r="C33" s="54" t="inlineStr">
        <is>
          <t>多源异构数据接入与元数据标准化规整</t>
        </is>
      </c>
      <c r="D33" s="54" t="inlineStr">
        <is>
          <t>元数据标准与来源管理</t>
        </is>
      </c>
      <c r="E33" s="54" t="inlineStr">
        <is>
          <t>统一元数据模型</t>
        </is>
      </c>
      <c r="F33" s="54" t="inlineStr">
        <is>
          <t>已覆盖</t>
        </is>
      </c>
      <c r="G33" s="54" t="inlineStr">
        <is>
          <t>现规划内（已计入 120.5 人天）</t>
        </is>
      </c>
      <c r="H33" s="54" t="inlineStr">
        <is>
          <t>Schema Registry 统一元数据模型驱动</t>
        </is>
      </c>
    </row>
    <row r="34" ht="36" customHeight="1">
      <c r="A34" s="54" t="inlineStr">
        <is>
          <t>Phase1：基础归档与查询</t>
        </is>
      </c>
      <c r="B34" s="54" t="inlineStr">
        <is>
          <t>模块 2：实时数据接入与常态化数据治理</t>
        </is>
      </c>
      <c r="C34" s="54" t="inlineStr">
        <is>
          <t>多源异构数据接入与元数据标准化规整</t>
        </is>
      </c>
      <c r="D34" s="54" t="inlineStr">
        <is>
          <t>元数据标准与来源管理</t>
        </is>
      </c>
      <c r="E34" s="54" t="inlineStr">
        <is>
          <t>来源系统信息绑定</t>
        </is>
      </c>
      <c r="F34" s="54" t="inlineStr">
        <is>
          <t>已覆盖</t>
        </is>
      </c>
      <c r="G34" s="54" t="inlineStr">
        <is>
          <t>现规划内（已计入 120.5 人天）</t>
        </is>
      </c>
      <c r="H34" s="54" t="inlineStr">
        <is>
          <t>来源系统编码/绑定已含</t>
        </is>
      </c>
    </row>
    <row r="35" ht="36" customHeight="1">
      <c r="A35" s="54" t="inlineStr">
        <is>
          <t>Phase1：基础归档与查询</t>
        </is>
      </c>
      <c r="B35" s="54" t="inlineStr">
        <is>
          <t>模块 2：实时数据接入与常态化数据治理</t>
        </is>
      </c>
      <c r="C35" s="54" t="inlineStr">
        <is>
          <t>在运系统低频冷数据迁移</t>
        </is>
      </c>
      <c r="D35" s="54" t="inlineStr">
        <is>
          <t>冷数据识别与接入</t>
        </is>
      </c>
      <c r="E35" s="54" t="inlineStr">
        <is>
          <t>冷数据识别与标记</t>
        </is>
      </c>
      <c r="F35" s="56" t="inlineStr">
        <is>
          <t>非当前范围</t>
        </is>
      </c>
      <c r="G35" s="54" t="inlineStr">
        <is>
          <t>不适用退役归档 · 忽略</t>
        </is>
      </c>
      <c r="H35" s="54" t="inlineStr">
        <is>
          <t>在运系统冷数据识别，不适用退役，忽略</t>
        </is>
      </c>
    </row>
    <row r="36" ht="36" customHeight="1">
      <c r="A36" s="54" t="inlineStr">
        <is>
          <t>Phase1：基础归档与查询</t>
        </is>
      </c>
      <c r="B36" s="54" t="inlineStr">
        <is>
          <t>模块 2：实时数据接入与常态化数据治理</t>
        </is>
      </c>
      <c r="C36" s="54" t="inlineStr">
        <is>
          <t>在运系统低频冷数据迁移</t>
        </is>
      </c>
      <c r="D36" s="54" t="inlineStr">
        <is>
          <t>冷数据识别与接入</t>
        </is>
      </c>
      <c r="E36" s="54" t="inlineStr">
        <is>
          <t>在运系统冷数据周期性接入</t>
        </is>
      </c>
      <c r="F36" s="56" t="inlineStr">
        <is>
          <t>非当前范围</t>
        </is>
      </c>
      <c r="G36" s="54" t="inlineStr">
        <is>
          <t>不适用退役归档 · 忽略</t>
        </is>
      </c>
      <c r="H36" s="54" t="inlineStr">
        <is>
          <t>在运冷数据周期接入，不适用退役，忽略</t>
        </is>
      </c>
    </row>
    <row r="37" ht="36" customHeight="1">
      <c r="A37" s="54" t="inlineStr">
        <is>
          <t>Phase3：AI智能化赋能</t>
        </is>
      </c>
      <c r="B37" s="54" t="inlineStr">
        <is>
          <t>模块 2：实时数据接入与常态化数据治理</t>
        </is>
      </c>
      <c r="C37" s="54" t="inlineStr">
        <is>
          <t>提升数据规整度与查阅效率</t>
        </is>
      </c>
      <c r="D37" s="54" t="inlineStr">
        <is>
          <t>数据质量管理</t>
        </is>
      </c>
      <c r="E37" s="54" t="inlineStr">
        <is>
          <t>数据质量评分</t>
        </is>
      </c>
      <c r="F37" s="55" t="inlineStr">
        <is>
          <t>未覆盖</t>
        </is>
      </c>
      <c r="G37" s="54" t="inlineStr">
        <is>
          <t>AI 智能化 · 后续（未逐条确认）</t>
        </is>
      </c>
      <c r="H37" s="54" t="inlineStr">
        <is>
          <t>AI 整组，二期后评估</t>
        </is>
      </c>
    </row>
    <row r="38" ht="36" customHeight="1">
      <c r="A38" s="54" t="inlineStr">
        <is>
          <t>Phase2：能力优化与冷数据承接</t>
        </is>
      </c>
      <c r="B38" s="54" t="inlineStr">
        <is>
          <t>模块 2：实时数据接入与常态化数据治理</t>
        </is>
      </c>
      <c r="C38" s="54" t="inlineStr">
        <is>
          <t>提升数据规整度与查阅效率</t>
        </is>
      </c>
      <c r="D38" s="54" t="inlineStr">
        <is>
          <t>数据质量管理</t>
        </is>
      </c>
      <c r="E38" s="54" t="inlineStr">
        <is>
          <t>元数据补全与修正</t>
        </is>
      </c>
      <c r="F38" s="55" t="inlineStr">
        <is>
          <t>未覆盖</t>
        </is>
      </c>
      <c r="G38" s="54" t="inlineStr">
        <is>
          <t>二期 / 后续（本次确认：缓/后期）</t>
        </is>
      </c>
      <c r="H38" s="54" t="inlineStr">
        <is>
          <t>二期·元数据批量补全/修正工具</t>
        </is>
      </c>
    </row>
    <row r="39" ht="36" customHeight="1">
      <c r="A39" s="54" t="inlineStr">
        <is>
          <t>Phase2：能力优化与冷数据承接</t>
        </is>
      </c>
      <c r="B39" s="54" t="inlineStr">
        <is>
          <t>模块 2：实时数据接入与常态化数据治理</t>
        </is>
      </c>
      <c r="C39" s="54" t="inlineStr">
        <is>
          <t>在运系统增量数据实时同步</t>
        </is>
      </c>
      <c r="D39" s="54" t="inlineStr">
        <is>
          <t>增量数据同步</t>
        </is>
      </c>
      <c r="E39" s="54" t="inlineStr">
        <is>
          <t>数据库增量数据同步</t>
        </is>
      </c>
      <c r="F39" s="56" t="inlineStr">
        <is>
          <t>非当前范围</t>
        </is>
      </c>
      <c r="G39" s="54" t="inlineStr">
        <is>
          <t>不适用退役归档 · 忽略</t>
        </is>
      </c>
      <c r="H39" s="54" t="inlineStr">
        <is>
          <t>在运增量同步，不适用退役，忽略</t>
        </is>
      </c>
    </row>
    <row r="40" ht="36" customHeight="1">
      <c r="A40" s="54" t="inlineStr">
        <is>
          <t>Phase2：能力优化与冷数据承接</t>
        </is>
      </c>
      <c r="B40" s="54" t="inlineStr">
        <is>
          <t>模块 2：实时数据接入与常态化数据治理</t>
        </is>
      </c>
      <c r="C40" s="54" t="inlineStr">
        <is>
          <t>在运系统增量数据实时同步</t>
        </is>
      </c>
      <c r="D40" s="54" t="inlineStr">
        <is>
          <t>增量数据同步</t>
        </is>
      </c>
      <c r="E40" s="54" t="inlineStr">
        <is>
          <t>业务事件触发同步</t>
        </is>
      </c>
      <c r="F40" s="56" t="inlineStr">
        <is>
          <t>非当前范围</t>
        </is>
      </c>
      <c r="G40" s="54" t="inlineStr">
        <is>
          <t>不适用退役归档 · 忽略</t>
        </is>
      </c>
      <c r="H40" s="54" t="inlineStr">
        <is>
          <t>在运业务事件触发同步，忽略</t>
        </is>
      </c>
    </row>
    <row r="41" ht="36" customHeight="1">
      <c r="A41" s="54" t="inlineStr">
        <is>
          <t>Phase2：能力优化与冷数据承接</t>
        </is>
      </c>
      <c r="B41" s="54" t="inlineStr">
        <is>
          <t>模块 2：实时数据接入与常态化数据治理</t>
        </is>
      </c>
      <c r="C41" s="54" t="inlineStr">
        <is>
          <t>在运系统增量数据实时同步</t>
        </is>
      </c>
      <c r="D41" s="54" t="inlineStr">
        <is>
          <t>增量数据同步</t>
        </is>
      </c>
      <c r="E41" s="54" t="inlineStr">
        <is>
          <t>文件增量同步</t>
        </is>
      </c>
      <c r="F41" s="56" t="inlineStr">
        <is>
          <t>非当前范围</t>
        </is>
      </c>
      <c r="G41" s="54" t="inlineStr">
        <is>
          <t>不适用退役归档 · 忽略</t>
        </is>
      </c>
      <c r="H41" s="54" t="inlineStr">
        <is>
          <t>在运文件增量同步，忽略</t>
        </is>
      </c>
    </row>
    <row r="42" ht="36" customHeight="1">
      <c r="A42" s="54" t="inlineStr">
        <is>
          <t>Phase2：能力优化与冷数据承接</t>
        </is>
      </c>
      <c r="B42" s="54" t="inlineStr">
        <is>
          <t>模块 3：记录归档与档案全生命周期管理</t>
        </is>
      </c>
      <c r="C42" s="54" t="inlineStr">
        <is>
          <t>在运系统低频冷数据迁移</t>
        </is>
      </c>
      <c r="D42" s="54" t="inlineStr">
        <is>
          <t>冷数据归档与生命周期管理</t>
        </is>
      </c>
      <c r="E42" s="54" t="inlineStr">
        <is>
          <t>冷数据分类归档</t>
        </is>
      </c>
      <c r="F42" s="56" t="inlineStr">
        <is>
          <t>非当前范围</t>
        </is>
      </c>
      <c r="G42" s="54" t="inlineStr">
        <is>
          <t>不适用退役归档 · 忽略</t>
        </is>
      </c>
      <c r="H42" s="54" t="inlineStr">
        <is>
          <t>在运冷数据分类归档，忽略</t>
        </is>
      </c>
    </row>
    <row r="43" ht="36" customHeight="1">
      <c r="A43" s="54" t="inlineStr">
        <is>
          <t>Phase2：能力优化与冷数据承接</t>
        </is>
      </c>
      <c r="B43" s="54" t="inlineStr">
        <is>
          <t>模块 3：记录归档与档案全生命周期管理</t>
        </is>
      </c>
      <c r="C43" s="54" t="inlineStr">
        <is>
          <t>在运系统低频冷数据迁移</t>
        </is>
      </c>
      <c r="D43" s="54" t="inlineStr">
        <is>
          <t>冷数据归档与生命周期管理</t>
        </is>
      </c>
      <c r="E43" s="54" t="inlineStr">
        <is>
          <t>冷数据生命周期管理</t>
        </is>
      </c>
      <c r="F43" s="56" t="inlineStr">
        <is>
          <t>非当前范围</t>
        </is>
      </c>
      <c r="G43" s="54" t="inlineStr">
        <is>
          <t>不适用退役归档 · 忽略</t>
        </is>
      </c>
      <c r="H43" s="54" t="inlineStr">
        <is>
          <t>在运冷数据生命周期，忽略</t>
        </is>
      </c>
    </row>
    <row r="44" ht="36" customHeight="1">
      <c r="A44" s="54" t="inlineStr">
        <is>
          <t>Phase2：能力优化与冷数据承接</t>
        </is>
      </c>
      <c r="B44" s="54" t="inlineStr">
        <is>
          <t>模块 3：记录归档与档案全生命周期管理</t>
        </is>
      </c>
      <c r="C44" s="54" t="inlineStr">
        <is>
          <t>关键操作合规审批</t>
        </is>
      </c>
      <c r="D44" s="54" t="inlineStr">
        <is>
          <t>保留与处置策略审批</t>
        </is>
      </c>
      <c r="E44" s="54" t="inlineStr">
        <is>
          <t>删除审批与操作留痕</t>
        </is>
      </c>
      <c r="F44" s="55" t="inlineStr">
        <is>
          <t>未覆盖</t>
        </is>
      </c>
      <c r="G44" s="54" t="inlineStr">
        <is>
          <t>二期 / 后续（本次确认：缓/后期）</t>
        </is>
      </c>
      <c r="H44" s="54" t="inlineStr">
        <is>
          <t>二期·删除审批与操作留痕(后期再做)</t>
        </is>
      </c>
    </row>
    <row r="45" ht="36" customHeight="1">
      <c r="A45" s="54" t="inlineStr">
        <is>
          <t>Phase2：能力优化与冷数据承接</t>
        </is>
      </c>
      <c r="B45" s="54" t="inlineStr">
        <is>
          <t>模块 3：记录归档与档案全生命周期管理</t>
        </is>
      </c>
      <c r="C45" s="54" t="inlineStr">
        <is>
          <t>关键操作合规审批</t>
        </is>
      </c>
      <c r="D45" s="54" t="inlineStr">
        <is>
          <t>保留与处置策略审批</t>
        </is>
      </c>
      <c r="E45" s="54" t="inlineStr">
        <is>
          <t>保留策略变更审批流</t>
        </is>
      </c>
      <c r="F45" s="55" t="inlineStr">
        <is>
          <t>未覆盖</t>
        </is>
      </c>
      <c r="G45" s="54" t="inlineStr">
        <is>
          <t>二期 / 后续（本次确认：缓/后期）</t>
        </is>
      </c>
      <c r="H45" s="54" t="inlineStr">
        <is>
          <t>二期·保留策略变更审批流(随#3)</t>
        </is>
      </c>
    </row>
    <row r="46" ht="36" customHeight="1">
      <c r="A46" s="54" t="inlineStr">
        <is>
          <t>Phase1：基础归档与查询</t>
        </is>
      </c>
      <c r="B46" s="54" t="inlineStr">
        <is>
          <t>模块 3：记录归档与档案全生命周期管理</t>
        </is>
      </c>
      <c r="C46" s="54" t="inlineStr">
        <is>
          <t>标准化数据组装为归档对象</t>
        </is>
      </c>
      <c r="D46" s="54" t="inlineStr">
        <is>
          <t>标准归档转换与校验</t>
        </is>
      </c>
      <c r="E46" s="54" t="inlineStr">
        <is>
          <t>标准数据归档对象转换</t>
        </is>
      </c>
      <c r="F46" s="54" t="inlineStr">
        <is>
          <t>已覆盖</t>
        </is>
      </c>
      <c r="G46" s="54" t="inlineStr">
        <is>
          <t>现规划内（已计入 120.5 人天）</t>
        </is>
      </c>
      <c r="H46" s="54" t="inlineStr">
        <is>
          <t>ETL→标准归档对象转换已含</t>
        </is>
      </c>
    </row>
    <row r="47" ht="36" customHeight="1">
      <c r="A47" s="54" t="inlineStr">
        <is>
          <t>Phase1：基础归档与查询</t>
        </is>
      </c>
      <c r="B47" s="54" t="inlineStr">
        <is>
          <t>模块 3：记录归档与档案全生命周期管理</t>
        </is>
      </c>
      <c r="C47" s="54" t="inlineStr">
        <is>
          <t>源系统数据结构自动映射归档</t>
        </is>
      </c>
      <c r="D47" s="54" t="inlineStr">
        <is>
          <t>标准归档转换与校验</t>
        </is>
      </c>
      <c r="E47" s="54" t="inlineStr">
        <is>
          <t>归档规则自动应用</t>
        </is>
      </c>
      <c r="F47" s="54" t="inlineStr">
        <is>
          <t>已覆盖</t>
        </is>
      </c>
      <c r="G47" s="54" t="inlineStr">
        <is>
          <t>现规划内（已计入 120.5 人天）</t>
        </is>
      </c>
      <c r="H47" s="54" t="inlineStr">
        <is>
          <t>归档规则自动应用已含</t>
        </is>
      </c>
    </row>
    <row r="48" ht="36" customHeight="1">
      <c r="A48" s="54" t="inlineStr">
        <is>
          <t>Phase1：基础归档与查询</t>
        </is>
      </c>
      <c r="B48" s="54" t="inlineStr">
        <is>
          <t>模块 3：记录归档与档案全生命周期管理</t>
        </is>
      </c>
      <c r="C48" s="54" t="inlineStr">
        <is>
          <t>源系统数据结构自动映射归档</t>
        </is>
      </c>
      <c r="D48" s="54" t="inlineStr">
        <is>
          <t>标准归档转换与校验</t>
        </is>
      </c>
      <c r="E48" s="54" t="inlineStr">
        <is>
          <t>归档结果校验</t>
        </is>
      </c>
      <c r="F48" s="57" t="inlineStr">
        <is>
          <t>部分覆盖</t>
        </is>
      </c>
      <c r="G48" s="54" t="inlineStr">
        <is>
          <t>现规划含基础，增强入二期</t>
        </is>
      </c>
      <c r="H48" s="54" t="inlineStr">
        <is>
          <t>执行结果核对已含；深度完整性比对见二期#6-8</t>
        </is>
      </c>
    </row>
    <row r="49" ht="36" customHeight="1">
      <c r="A49" s="54" t="inlineStr">
        <is>
          <t>Phase1：基础归档与查询</t>
        </is>
      </c>
      <c r="B49" s="54" t="inlineStr">
        <is>
          <t>模块 3：记录归档与档案全生命周期管理</t>
        </is>
      </c>
      <c r="C49" s="54" t="inlineStr">
        <is>
          <t>归档记录定期删除与合规保留</t>
        </is>
      </c>
      <c r="D49" s="54" t="inlineStr">
        <is>
          <t>到期处置与Legal Hold管理</t>
        </is>
      </c>
      <c r="E49" s="54" t="inlineStr">
        <is>
          <t>保留期限到期自动删除</t>
        </is>
      </c>
      <c r="F49" s="55" t="inlineStr">
        <is>
          <t>未覆盖</t>
        </is>
      </c>
      <c r="G49" s="54" t="inlineStr">
        <is>
          <t>二期 / 后续（本次确认：缓/后期）</t>
        </is>
      </c>
      <c r="H49" s="54" t="inlineStr">
        <is>
          <t>二期·保留到期自动删除</t>
        </is>
      </c>
    </row>
    <row r="50" ht="36" customHeight="1">
      <c r="A50" s="54" t="inlineStr">
        <is>
          <t>Phase1：基础归档与查询</t>
        </is>
      </c>
      <c r="B50" s="54" t="inlineStr">
        <is>
          <t>模块 3：记录归档与档案全生命周期管理</t>
        </is>
      </c>
      <c r="C50" s="54" t="inlineStr">
        <is>
          <t>归档记录定期删除与合规保留</t>
        </is>
      </c>
      <c r="D50" s="54" t="inlineStr">
        <is>
          <t>到期处置与Legal Hold管理</t>
        </is>
      </c>
      <c r="E50" s="54" t="inlineStr">
        <is>
          <t>Legal Hold 冻结</t>
        </is>
      </c>
      <c r="F50" s="55" t="inlineStr">
        <is>
          <t>未覆盖</t>
        </is>
      </c>
      <c r="G50" s="54" t="inlineStr">
        <is>
          <t>二期 / 后续（本次确认：缓/后期）</t>
        </is>
      </c>
      <c r="H50" s="54" t="inlineStr">
        <is>
          <t>二期·Legal Hold 冻结</t>
        </is>
      </c>
    </row>
    <row r="51" ht="36" customHeight="1">
      <c r="A51" s="54" t="inlineStr">
        <is>
          <t>Phase2：能力优化与冷数据承接</t>
        </is>
      </c>
      <c r="B51" s="54" t="inlineStr">
        <is>
          <t>模块 4：数据存储与境内数据安全管控</t>
        </is>
      </c>
      <c r="C51" s="54" t="inlineStr">
        <is>
          <t>在运系统低频冷数据迁移</t>
        </is>
      </c>
      <c r="D51" s="54" t="inlineStr">
        <is>
          <t>分层存储与策略优化</t>
        </is>
      </c>
      <c r="E51" s="54" t="inlineStr">
        <is>
          <t>冷热数据分层存储</t>
        </is>
      </c>
      <c r="F51" s="56" t="inlineStr">
        <is>
          <t>非当前范围</t>
        </is>
      </c>
      <c r="G51" s="54" t="inlineStr">
        <is>
          <t>不适用退役归档 · 忽略</t>
        </is>
      </c>
      <c r="H51" s="54" t="inlineStr">
        <is>
          <t>冷热分层属在运冷数据承接，忽略</t>
        </is>
      </c>
    </row>
    <row r="52" ht="36" customHeight="1">
      <c r="A52" s="54" t="inlineStr">
        <is>
          <t>Phase2：能力优化与冷数据承接</t>
        </is>
      </c>
      <c r="B52" s="54" t="inlineStr">
        <is>
          <t>模块 4：数据存储与境内数据安全管控</t>
        </is>
      </c>
      <c r="C52" s="54" t="inlineStr">
        <is>
          <t>保障系统稳定运行与查询性能</t>
        </is>
      </c>
      <c r="D52" s="54" t="inlineStr">
        <is>
          <t>分层存储与策略优化</t>
        </is>
      </c>
      <c r="E52" s="54" t="inlineStr">
        <is>
          <t>存储策略优化</t>
        </is>
      </c>
      <c r="F52" s="55" t="inlineStr">
        <is>
          <t>未覆盖</t>
        </is>
      </c>
      <c r="G52" s="54" t="inlineStr">
        <is>
          <t>二期 / 后续（本次确认：缓/后期）</t>
        </is>
      </c>
      <c r="H52" s="54" t="inlineStr">
        <is>
          <t>二期·存储策略优化(低优先)</t>
        </is>
      </c>
    </row>
    <row r="53" ht="36" customHeight="1">
      <c r="A53" s="54" t="inlineStr">
        <is>
          <t>Phase2：能力优化与冷数据承接</t>
        </is>
      </c>
      <c r="B53" s="54" t="inlineStr">
        <is>
          <t>模块 4：数据存储与境内数据安全管控</t>
        </is>
      </c>
      <c r="C53" s="54" t="inlineStr">
        <is>
          <t>敏感历史数据字段级脱敏</t>
        </is>
      </c>
      <c r="D53" s="54" t="inlineStr">
        <is>
          <t>字段级数据脱敏管理</t>
        </is>
      </c>
      <c r="E53" s="54" t="inlineStr">
        <is>
          <t>字段级脱敏规则配置</t>
        </is>
      </c>
      <c r="F53" s="54" t="inlineStr">
        <is>
          <t>已覆盖</t>
        </is>
      </c>
      <c r="G53" s="54" t="inlineStr">
        <is>
          <t>现规划内（已计入 120.5 人天）</t>
        </is>
      </c>
      <c r="H53" s="54" t="inlineStr">
        <is>
          <t>敏感字段标识+脱敏规则配置(字段级核心)已含</t>
        </is>
      </c>
    </row>
    <row r="54" ht="36" customHeight="1">
      <c r="A54" s="54" t="inlineStr">
        <is>
          <t>Phase2：能力优化与冷数据承接</t>
        </is>
      </c>
      <c r="B54" s="54" t="inlineStr">
        <is>
          <t>模块 4：数据存储与境内数据安全管控</t>
        </is>
      </c>
      <c r="C54" s="54" t="inlineStr">
        <is>
          <t>敏感历史数据字段级脱敏</t>
        </is>
      </c>
      <c r="D54" s="54" t="inlineStr">
        <is>
          <t>字段级数据脱敏管理</t>
        </is>
      </c>
      <c r="E54" s="54" t="inlineStr">
        <is>
          <t>手动选择脱敏字段</t>
        </is>
      </c>
      <c r="F54" s="57" t="inlineStr">
        <is>
          <t>部分覆盖</t>
        </is>
      </c>
      <c r="G54" s="54" t="inlineStr">
        <is>
          <t>现规划含基础，增强入二期</t>
        </is>
      </c>
      <c r="H54" s="54" t="inlineStr">
        <is>
          <t>手动选择脱敏字段为二期增强</t>
        </is>
      </c>
    </row>
    <row r="55" ht="36" customHeight="1">
      <c r="A55" s="54" t="inlineStr">
        <is>
          <t>Phase2：能力优化与冷数据承接</t>
        </is>
      </c>
      <c r="B55" s="54" t="inlineStr">
        <is>
          <t>模块 4：数据存储与境内数据安全管控</t>
        </is>
      </c>
      <c r="C55" s="54" t="inlineStr">
        <is>
          <t>敏感历史数据字段级脱敏</t>
        </is>
      </c>
      <c r="D55" s="54" t="inlineStr">
        <is>
          <t>字段级数据脱敏管理</t>
        </is>
      </c>
      <c r="E55" s="54" t="inlineStr">
        <is>
          <t>脱敏策略应用</t>
        </is>
      </c>
      <c r="F55" s="57" t="inlineStr">
        <is>
          <t>部分覆盖</t>
        </is>
      </c>
      <c r="G55" s="54" t="inlineStr">
        <is>
          <t>现规划含基础，增强入二期</t>
        </is>
      </c>
      <c r="H55" s="54" t="inlineStr">
        <is>
          <t>脱敏策略按记录/角色生效为二期增强</t>
        </is>
      </c>
    </row>
    <row r="56" ht="36" customHeight="1">
      <c r="A56" s="54" t="inlineStr">
        <is>
          <t>Phase2：能力优化与冷数据承接</t>
        </is>
      </c>
      <c r="B56" s="54" t="inlineStr">
        <is>
          <t>模块 4：数据存储与境内数据安全管控</t>
        </is>
      </c>
      <c r="C56" s="54" t="inlineStr">
        <is>
          <t>敏感历史数据字段级脱敏</t>
        </is>
      </c>
      <c r="D56" s="54" t="inlineStr">
        <is>
          <t>字段级数据脱敏管理</t>
        </is>
      </c>
      <c r="E56" s="54" t="inlineStr">
        <is>
          <t>脱敏预览</t>
        </is>
      </c>
      <c r="F56" s="55" t="inlineStr">
        <is>
          <t>未覆盖</t>
        </is>
      </c>
      <c r="G56" s="54" t="inlineStr">
        <is>
          <t>二期 / 后续（本次确认：缓/后期）</t>
        </is>
      </c>
      <c r="H56" s="54" t="inlineStr">
        <is>
          <t>二期·脱敏预览</t>
        </is>
      </c>
    </row>
    <row r="57" ht="36" customHeight="1">
      <c r="A57" s="54" t="inlineStr">
        <is>
          <t>Phase1：基础归档与查询</t>
        </is>
      </c>
      <c r="B57" s="54" t="inlineStr">
        <is>
          <t>模块 4：数据存储与境内数据安全管控</t>
        </is>
      </c>
      <c r="C57" s="54" t="inlineStr">
        <is>
          <t>确保归档数据可恢复</t>
        </is>
      </c>
      <c r="D57" s="54" t="inlineStr">
        <is>
          <t>数据备份与灾难恢复</t>
        </is>
      </c>
      <c r="E57" s="54" t="inlineStr">
        <is>
          <t>数据备份管理</t>
        </is>
      </c>
      <c r="F57" s="55" t="inlineStr">
        <is>
          <t>未覆盖</t>
        </is>
      </c>
      <c r="G57" s="54" t="inlineStr">
        <is>
          <t>二期 / 后续（本次确认：缓/后期）</t>
        </is>
      </c>
      <c r="H57" s="54" t="inlineStr">
        <is>
          <t>二期·数据备份管理(基建)</t>
        </is>
      </c>
    </row>
    <row r="58" ht="36" customHeight="1">
      <c r="A58" s="54" t="inlineStr">
        <is>
          <t>Phase1：基础归档与查询</t>
        </is>
      </c>
      <c r="B58" s="54" t="inlineStr">
        <is>
          <t>模块 4：数据存储与境内数据安全管控</t>
        </is>
      </c>
      <c r="C58" s="54" t="inlineStr">
        <is>
          <t>确保归档数据可恢复</t>
        </is>
      </c>
      <c r="D58" s="54" t="inlineStr">
        <is>
          <t>数据备份与灾难恢复</t>
        </is>
      </c>
      <c r="E58" s="54" t="inlineStr">
        <is>
          <t>异地灾备</t>
        </is>
      </c>
      <c r="F58" s="55" t="inlineStr">
        <is>
          <t>未覆盖</t>
        </is>
      </c>
      <c r="G58" s="54" t="inlineStr">
        <is>
          <t>二期 / 后续（本次确认：缓/后期）</t>
        </is>
      </c>
      <c r="H58" s="54" t="inlineStr">
        <is>
          <t>二期·异地灾备(基建)</t>
        </is>
      </c>
    </row>
    <row r="59" ht="36" customHeight="1">
      <c r="A59" s="54" t="inlineStr">
        <is>
          <t>Phase1：基础归档与查询</t>
        </is>
      </c>
      <c r="B59" s="54" t="inlineStr">
        <is>
          <t>模块 4：数据存储与境内数据安全管控</t>
        </is>
      </c>
      <c r="C59" s="54" t="inlineStr">
        <is>
          <t>确保归档数据可恢复</t>
        </is>
      </c>
      <c r="D59" s="54" t="inlineStr">
        <is>
          <t>数据备份与灾难恢复</t>
        </is>
      </c>
      <c r="E59" s="54" t="inlineStr">
        <is>
          <t>恢复演练</t>
        </is>
      </c>
      <c r="F59" s="55" t="inlineStr">
        <is>
          <t>未覆盖</t>
        </is>
      </c>
      <c r="G59" s="54" t="inlineStr">
        <is>
          <t>二期 / 后续（本次确认：缓/后期）</t>
        </is>
      </c>
      <c r="H59" s="54" t="inlineStr">
        <is>
          <t>二期·恢复演练(基建)</t>
        </is>
      </c>
    </row>
    <row r="60" ht="36" customHeight="1">
      <c r="A60" s="54" t="inlineStr">
        <is>
          <t>Phase2：能力优化与冷数据承接</t>
        </is>
      </c>
      <c r="B60" s="54" t="inlineStr">
        <is>
          <t>模块 5：档案检索、智能发现与业务利用</t>
        </is>
      </c>
      <c r="C60" s="54" t="inlineStr">
        <is>
          <t>不同岗位个性化查询页面</t>
        </is>
      </c>
      <c r="D60" s="54" t="inlineStr">
        <is>
          <t>个性化页面与视图管理</t>
        </is>
      </c>
      <c r="E60" s="54" t="inlineStr">
        <is>
          <t>自定义页面布局</t>
        </is>
      </c>
      <c r="F60" s="55" t="inlineStr">
        <is>
          <t>未覆盖</t>
        </is>
      </c>
      <c r="G60" s="54" t="inlineStr">
        <is>
          <t>二期 / 后续（本次确认：缓/后期）</t>
        </is>
      </c>
      <c r="H60" s="54" t="inlineStr">
        <is>
          <t>二期·个性化页面(可选)</t>
        </is>
      </c>
    </row>
    <row r="61" ht="36" customHeight="1">
      <c r="A61" s="54" t="inlineStr">
        <is>
          <t>Phase2：能力优化与冷数据承接</t>
        </is>
      </c>
      <c r="B61" s="54" t="inlineStr">
        <is>
          <t>模块 5：档案检索、智能发现与业务利用</t>
        </is>
      </c>
      <c r="C61" s="54" t="inlineStr">
        <is>
          <t>不同岗位个性化查询页面</t>
        </is>
      </c>
      <c r="D61" s="54" t="inlineStr">
        <is>
          <t>个性化页面与视图管理</t>
        </is>
      </c>
      <c r="E61" s="54" t="inlineStr">
        <is>
          <t>自定义展示字段</t>
        </is>
      </c>
      <c r="F61" s="55" t="inlineStr">
        <is>
          <t>未覆盖</t>
        </is>
      </c>
      <c r="G61" s="54" t="inlineStr">
        <is>
          <t>二期 / 后续（本次确认：缓/后期）</t>
        </is>
      </c>
      <c r="H61" s="54" t="inlineStr">
        <is>
          <t>二期·自定义展示字段</t>
        </is>
      </c>
    </row>
    <row r="62" ht="36" customHeight="1">
      <c r="A62" s="54" t="inlineStr">
        <is>
          <t>Phase2：能力优化与冷数据承接</t>
        </is>
      </c>
      <c r="B62" s="54" t="inlineStr">
        <is>
          <t>模块 5：档案检索、智能发现与业务利用</t>
        </is>
      </c>
      <c r="C62" s="54" t="inlineStr">
        <is>
          <t>不同岗位个性化查询页面</t>
        </is>
      </c>
      <c r="D62" s="54" t="inlineStr">
        <is>
          <t>个性化页面与视图管理</t>
        </is>
      </c>
      <c r="E62" s="54" t="inlineStr">
        <is>
          <t>可配置化页面能力</t>
        </is>
      </c>
      <c r="F62" s="55" t="inlineStr">
        <is>
          <t>未覆盖</t>
        </is>
      </c>
      <c r="G62" s="54" t="inlineStr">
        <is>
          <t>二期 / 后续（本次确认：缓/后期）</t>
        </is>
      </c>
      <c r="H62" s="54" t="inlineStr">
        <is>
          <t>二期·检索条件保存复用</t>
        </is>
      </c>
    </row>
    <row r="63" ht="36" customHeight="1">
      <c r="A63" s="54" t="inlineStr">
        <is>
          <t>Phase2：能力优化与冷数据承接</t>
        </is>
      </c>
      <c r="B63" s="54" t="inlineStr">
        <is>
          <t>模块 5：档案检索、智能发现与业务利用</t>
        </is>
      </c>
      <c r="C63" s="54" t="inlineStr">
        <is>
          <t>不同岗位个性化查询页面</t>
        </is>
      </c>
      <c r="D63" s="54" t="inlineStr">
        <is>
          <t>个性化页面与视图管理</t>
        </is>
      </c>
      <c r="E63" s="54" t="inlineStr">
        <is>
          <t>用户个人视图保存</t>
        </is>
      </c>
      <c r="F63" s="55" t="inlineStr">
        <is>
          <t>未覆盖</t>
        </is>
      </c>
      <c r="G63" s="54" t="inlineStr">
        <is>
          <t>二期 / 后续（本次确认：缓/后期）</t>
        </is>
      </c>
      <c r="H63" s="54" t="inlineStr">
        <is>
          <t>二期·个人视图保存</t>
        </is>
      </c>
    </row>
    <row r="64" ht="36" customHeight="1">
      <c r="A64" s="54" t="inlineStr">
        <is>
          <t>Phase2：能力优化与冷数据承接</t>
        </is>
      </c>
      <c r="B64" s="54" t="inlineStr">
        <is>
          <t>模块 5：档案检索、智能发现与业务利用</t>
        </is>
      </c>
      <c r="C64" s="54" t="inlineStr">
        <is>
          <t>不同岗位个性化查询页面</t>
        </is>
      </c>
      <c r="D64" s="54" t="inlineStr">
        <is>
          <t>个性化页面与视图管理</t>
        </is>
      </c>
      <c r="E64" s="54" t="inlineStr">
        <is>
          <t>页面模板管理</t>
        </is>
      </c>
      <c r="F64" s="55" t="inlineStr">
        <is>
          <t>未覆盖</t>
        </is>
      </c>
      <c r="G64" s="54" t="inlineStr">
        <is>
          <t>二期 / 后续（本次确认：缓/后期）</t>
        </is>
      </c>
      <c r="H64" s="54" t="inlineStr">
        <is>
          <t>二期·页面模板管理</t>
        </is>
      </c>
    </row>
    <row r="65" ht="36" customHeight="1">
      <c r="A65" s="54" t="inlineStr">
        <is>
          <t>Phase2：能力优化与冷数据承接</t>
        </is>
      </c>
      <c r="B65" s="54" t="inlineStr">
        <is>
          <t>模块 5：档案检索、智能发现与业务利用</t>
        </is>
      </c>
      <c r="C65" s="54" t="inlineStr">
        <is>
          <t>业务人员精细化、个性化查询</t>
        </is>
      </c>
      <c r="D65" s="54" t="inlineStr">
        <is>
          <t>高级检索与筛选</t>
        </is>
      </c>
      <c r="E65" s="54" t="inlineStr">
        <is>
          <t>多维度组合检索</t>
        </is>
      </c>
      <c r="F65" s="57" t="inlineStr">
        <is>
          <t>部分覆盖</t>
        </is>
      </c>
      <c r="G65" s="54" t="inlineStr">
        <is>
          <t>现规划含基础，增强入二期</t>
        </is>
      </c>
      <c r="H65" s="54" t="inlineStr">
        <is>
          <t>动态查询已支持多字段组合筛选；复杂组合/精准入二期</t>
        </is>
      </c>
    </row>
    <row r="66" ht="36" customHeight="1">
      <c r="A66" s="54" t="inlineStr">
        <is>
          <t>Phase2：能力优化与冷数据承接</t>
        </is>
      </c>
      <c r="B66" s="54" t="inlineStr">
        <is>
          <t>模块 5：档案检索、智能发现与业务利用</t>
        </is>
      </c>
      <c r="C66" s="54" t="inlineStr">
        <is>
          <t>业务人员精细化、个性化查询</t>
        </is>
      </c>
      <c r="D66" s="54" t="inlineStr">
        <is>
          <t>高级检索与筛选</t>
        </is>
      </c>
      <c r="E66" s="54" t="inlineStr">
        <is>
          <t>精准筛选</t>
        </is>
      </c>
      <c r="F66" s="57" t="inlineStr">
        <is>
          <t>部分覆盖</t>
        </is>
      </c>
      <c r="G66" s="54" t="inlineStr">
        <is>
          <t>现规划含基础，增强入二期</t>
        </is>
      </c>
      <c r="H66" s="54" t="inlineStr">
        <is>
          <t>同#63</t>
        </is>
      </c>
    </row>
    <row r="67" ht="36" customHeight="1">
      <c r="A67" s="54" t="inlineStr">
        <is>
          <t>Phase2：能力优化与冷数据承接</t>
        </is>
      </c>
      <c r="B67" s="54" t="inlineStr">
        <is>
          <t>模块 5：档案检索、智能发现与业务利用</t>
        </is>
      </c>
      <c r="C67" s="54" t="inlineStr">
        <is>
          <t>业务人员精细化、个性化查询</t>
        </is>
      </c>
      <c r="D67" s="54" t="inlineStr">
        <is>
          <t>高级检索与筛选</t>
        </is>
      </c>
      <c r="E67" s="54" t="inlineStr">
        <is>
          <t>模糊全文检索</t>
        </is>
      </c>
      <c r="F67" s="55" t="inlineStr">
        <is>
          <t>未覆盖</t>
        </is>
      </c>
      <c r="G67" s="54" t="inlineStr">
        <is>
          <t>二期 / 后续（本次确认：缓/后期）</t>
        </is>
      </c>
      <c r="H67" s="54" t="inlineStr">
        <is>
          <t>二期·模糊全文/拼音检索</t>
        </is>
      </c>
    </row>
    <row r="68" ht="36" customHeight="1">
      <c r="A68" s="54" t="inlineStr">
        <is>
          <t>Phase1：基础归档与查询</t>
        </is>
      </c>
      <c r="B68" s="54" t="inlineStr">
        <is>
          <t>模块 5：档案检索、智能发现与业务利用</t>
        </is>
      </c>
      <c r="C68" s="54" t="inlineStr">
        <is>
          <t>业务人员精细化、个性化查询</t>
        </is>
      </c>
      <c r="D68" s="54" t="inlineStr">
        <is>
          <t>检索结果导出</t>
        </is>
      </c>
      <c r="E68" s="54" t="inlineStr">
        <is>
          <t>加密字段导出控制</t>
        </is>
      </c>
      <c r="F68" s="55" t="inlineStr">
        <is>
          <t>未覆盖</t>
        </is>
      </c>
      <c r="G68" s="54" t="inlineStr">
        <is>
          <t>二期 / 后续（本次确认：缓/后期）</t>
        </is>
      </c>
      <c r="H68" s="54" t="inlineStr">
        <is>
          <t>二期·加密字段导出控制(检索导出)</t>
        </is>
      </c>
    </row>
    <row r="69" ht="36" customHeight="1">
      <c r="A69" s="54" t="inlineStr">
        <is>
          <t>Phase1：基础归档与查询</t>
        </is>
      </c>
      <c r="B69" s="54" t="inlineStr">
        <is>
          <t>模块 5：档案检索、智能发现与业务利用</t>
        </is>
      </c>
      <c r="C69" s="54" t="inlineStr">
        <is>
          <t>业务人员精细化、个性化查询</t>
        </is>
      </c>
      <c r="D69" s="54" t="inlineStr">
        <is>
          <t>检索结果导出</t>
        </is>
      </c>
      <c r="E69" s="54" t="inlineStr">
        <is>
          <t>检索文档结果导出</t>
        </is>
      </c>
      <c r="F69" s="55" t="inlineStr">
        <is>
          <t>未覆盖</t>
        </is>
      </c>
      <c r="G69" s="54" t="inlineStr">
        <is>
          <t>二期 / 后续（本次确认：缓/后期）</t>
        </is>
      </c>
      <c r="H69" s="54" t="inlineStr">
        <is>
          <t>二期·检索文档结果导出</t>
        </is>
      </c>
    </row>
    <row r="70" ht="36" customHeight="1">
      <c r="A70" s="54" t="inlineStr">
        <is>
          <t>Phase2：能力优化与冷数据承接</t>
        </is>
      </c>
      <c r="B70" s="54" t="inlineStr">
        <is>
          <t>模块 5：档案检索、智能发现与业务利用</t>
        </is>
      </c>
      <c r="C70" s="54" t="inlineStr">
        <is>
          <t>保障系统稳定运行与查询性能</t>
        </is>
      </c>
      <c r="D70" s="54" t="inlineStr">
        <is>
          <t>查询性能管理</t>
        </is>
      </c>
      <c r="E70" s="54" t="inlineStr">
        <is>
          <t>查询性能优化</t>
        </is>
      </c>
      <c r="F70" s="55" t="inlineStr">
        <is>
          <t>未覆盖</t>
        </is>
      </c>
      <c r="G70" s="54" t="inlineStr">
        <is>
          <t>二期 / 后续（本次确认：缓/后期）</t>
        </is>
      </c>
      <c r="H70" s="54" t="inlineStr">
        <is>
          <t>二期·查询性能优化(基建)</t>
        </is>
      </c>
    </row>
    <row r="71" ht="36" customHeight="1">
      <c r="A71" s="54" t="inlineStr">
        <is>
          <t>Phase2：能力优化与冷数据承接</t>
        </is>
      </c>
      <c r="B71" s="54" t="inlineStr">
        <is>
          <t>模块 6：合规管控、审计追踪与合规报表</t>
        </is>
      </c>
      <c r="C71" s="54" t="inlineStr">
        <is>
          <t>敏感历史数据字段级脱敏</t>
        </is>
      </c>
      <c r="D71" s="54" t="inlineStr">
        <is>
          <t>合规操作审计与复核</t>
        </is>
      </c>
      <c r="E71" s="54" t="inlineStr">
        <is>
          <t>脱敏日志记录</t>
        </is>
      </c>
      <c r="F71" s="55" t="inlineStr">
        <is>
          <t>未覆盖</t>
        </is>
      </c>
      <c r="G71" s="54" t="inlineStr">
        <is>
          <t>二期 / 后续（本次确认：缓/后期）</t>
        </is>
      </c>
      <c r="H71" s="54" t="inlineStr">
        <is>
          <t>二期·脱敏日志记录</t>
        </is>
      </c>
    </row>
    <row r="72" ht="36" customHeight="1">
      <c r="A72" s="54" t="inlineStr">
        <is>
          <t>Phase2：能力优化与冷数据承接</t>
        </is>
      </c>
      <c r="B72" s="54" t="inlineStr">
        <is>
          <t>模块 6：合规管控、审计追踪与合规报表</t>
        </is>
      </c>
      <c r="C72" s="54" t="inlineStr">
        <is>
          <t>按角色控制数据访问范围</t>
        </is>
      </c>
      <c r="D72" s="54" t="inlineStr">
        <is>
          <t>合规操作审计与复核</t>
        </is>
      </c>
      <c r="E72" s="54" t="inlineStr">
        <is>
          <t>权限审计与复核</t>
        </is>
      </c>
      <c r="F72" s="55" t="inlineStr">
        <is>
          <t>未覆盖</t>
        </is>
      </c>
      <c r="G72" s="54" t="inlineStr">
        <is>
          <t>二期 / 后续（本次确认：缓/后期）</t>
        </is>
      </c>
      <c r="H72" s="54" t="inlineStr">
        <is>
          <t>二期·权限审计与复核</t>
        </is>
      </c>
    </row>
    <row r="73" ht="36" customHeight="1">
      <c r="A73" s="54" t="inlineStr">
        <is>
          <t>Phase2：能力优化与冷数据承接</t>
        </is>
      </c>
      <c r="B73" s="54" t="inlineStr">
        <is>
          <t>模块 7：多源系统集成与标准化连接器</t>
        </is>
      </c>
      <c r="C73" s="54" t="inlineStr">
        <is>
          <t>多类型标准化接口对接</t>
        </is>
      </c>
      <c r="D73" s="54" t="inlineStr">
        <is>
          <t>多源数据连接管理</t>
        </is>
      </c>
      <c r="E73" s="54" t="inlineStr">
        <is>
          <t>标准数据库连接能力</t>
        </is>
      </c>
      <c r="F73" s="54" t="inlineStr">
        <is>
          <t>已覆盖</t>
        </is>
      </c>
      <c r="G73" s="54" t="inlineStr">
        <is>
          <t>现规划内（已计入 120.5 人天）</t>
        </is>
      </c>
      <c r="H73" s="54" t="inlineStr">
        <is>
          <t>标准 DB 连接(迁移用)已含</t>
        </is>
      </c>
    </row>
    <row r="74" ht="36" customHeight="1">
      <c r="A74" s="54" t="inlineStr">
        <is>
          <t>Phase2：能力优化与冷数据承接</t>
        </is>
      </c>
      <c r="B74" s="54" t="inlineStr">
        <is>
          <t>模块 7：多源系统集成与标准化连接器</t>
        </is>
      </c>
      <c r="C74" s="54" t="inlineStr">
        <is>
          <t>多类型标准化接口对接</t>
        </is>
      </c>
      <c r="D74" s="54" t="inlineStr">
        <is>
          <t>多源数据连接管理</t>
        </is>
      </c>
      <c r="E74" s="54" t="inlineStr">
        <is>
          <t>标准文件连接能力</t>
        </is>
      </c>
      <c r="F74" s="54" t="inlineStr">
        <is>
          <t>已覆盖</t>
        </is>
      </c>
      <c r="G74" s="54" t="inlineStr">
        <is>
          <t>现规划内（已计入 120.5 人天）</t>
        </is>
      </c>
      <c r="H74" s="54" t="inlineStr">
        <is>
          <t>标准文件/对象存储连接(附件)已含</t>
        </is>
      </c>
    </row>
    <row r="75" ht="36" customHeight="1">
      <c r="A75" s="54" t="inlineStr">
        <is>
          <t>Phase2：能力优化与冷数据承接</t>
        </is>
      </c>
      <c r="B75" s="54" t="inlineStr">
        <is>
          <t>模块 7：多源系统集成与标准化连接器</t>
        </is>
      </c>
      <c r="C75" s="54" t="inlineStr">
        <is>
          <t>第三方集成工具兼容</t>
        </is>
      </c>
      <c r="D75" s="54" t="inlineStr">
        <is>
          <t>多源数据连接管理</t>
        </is>
      </c>
      <c r="E75" s="54" t="inlineStr">
        <is>
          <t>第三方数据集成工具适配</t>
        </is>
      </c>
      <c r="F75" s="55" t="inlineStr">
        <is>
          <t>未覆盖</t>
        </is>
      </c>
      <c r="G75" s="54" t="inlineStr">
        <is>
          <t>二期 / 后续（本次确认：缓/后期）</t>
        </is>
      </c>
      <c r="H75" s="54" t="inlineStr">
        <is>
          <t>二期·第三方集成工具适配</t>
        </is>
      </c>
    </row>
    <row r="76" ht="36" customHeight="1">
      <c r="A76" s="54" t="inlineStr">
        <is>
          <t>Phase2：能力优化与冷数据承接</t>
        </is>
      </c>
      <c r="B76" s="54" t="inlineStr">
        <is>
          <t>模块 7：多源系统集成与标准化连接器</t>
        </is>
      </c>
      <c r="C76" s="54" t="inlineStr">
        <is>
          <t>建立统一集成标准，规范上游源系统唯一标识与跨系统数据交互格式</t>
        </is>
      </c>
      <c r="D76" s="54" t="inlineStr">
        <is>
          <t>集成标准与接口管理</t>
        </is>
      </c>
      <c r="E76" s="54" t="inlineStr">
        <is>
          <t>固定源系统编码规则</t>
        </is>
      </c>
      <c r="F76" s="57" t="inlineStr">
        <is>
          <t>部分覆盖</t>
        </is>
      </c>
      <c r="G76" s="54" t="inlineStr">
        <is>
          <t>现规划含基础，增强入二期</t>
        </is>
      </c>
      <c r="H76" s="54" t="inlineStr">
        <is>
          <t>源系统编码已建立；交互格式规范增强入二期</t>
        </is>
      </c>
    </row>
    <row r="77" ht="36" customHeight="1">
      <c r="A77" s="54" t="inlineStr">
        <is>
          <t>Phase2：能力优化与冷数据承接</t>
        </is>
      </c>
      <c r="B77" s="54" t="inlineStr">
        <is>
          <t>模块 7：多源系统集成与标准化连接器</t>
        </is>
      </c>
      <c r="C77" s="54" t="inlineStr">
        <is>
          <t>建立统一集成标准，规范上游源系统唯一标识与跨系统数据交互格式</t>
        </is>
      </c>
      <c r="D77" s="54" t="inlineStr">
        <is>
          <t>集成标准与接口管理</t>
        </is>
      </c>
      <c r="E77" s="54" t="inlineStr">
        <is>
          <t>统一数据交互格式规范</t>
        </is>
      </c>
      <c r="F77" s="55" t="inlineStr">
        <is>
          <t>未覆盖</t>
        </is>
      </c>
      <c r="G77" s="54" t="inlineStr">
        <is>
          <t>二期 / 后续（本次确认：缓/后期）</t>
        </is>
      </c>
      <c r="H77" s="54" t="inlineStr">
        <is>
          <t>二期·统一数据交互格式规范</t>
        </is>
      </c>
    </row>
    <row r="78" ht="36" customHeight="1">
      <c r="A78" s="54" t="inlineStr">
        <is>
          <t>Phase2：能力优化与冷数据承接</t>
        </is>
      </c>
      <c r="B78" s="54" t="inlineStr">
        <is>
          <t>模块 7：多源系统集成与标准化连接器</t>
        </is>
      </c>
      <c r="C78" s="54" t="inlineStr">
        <is>
          <t>多类型标准化接口对接</t>
        </is>
      </c>
      <c r="D78" s="54" t="inlineStr">
        <is>
          <t>集成标准与接口管理</t>
        </is>
      </c>
      <c r="E78" s="54" t="inlineStr">
        <is>
          <t>标准系统接口能力</t>
        </is>
      </c>
      <c r="F78" s="55" t="inlineStr">
        <is>
          <t>未覆盖</t>
        </is>
      </c>
      <c r="G78" s="54" t="inlineStr">
        <is>
          <t>二期 / 后续（本次确认：缓/后期）</t>
        </is>
      </c>
      <c r="H78" s="54" t="inlineStr">
        <is>
          <t>二期·标准系统接口能力</t>
        </is>
      </c>
    </row>
    <row r="79" ht="36" customHeight="1">
      <c r="A79" s="54" t="inlineStr">
        <is>
          <t>Phase2：能力优化与冷数据承接</t>
        </is>
      </c>
      <c r="B79" s="54" t="inlineStr">
        <is>
          <t>模块 7：多源系统集成与标准化连接器</t>
        </is>
      </c>
      <c r="C79" s="54" t="inlineStr">
        <is>
          <t>降低多系统对接改造成本</t>
        </is>
      </c>
      <c r="D79" s="54" t="inlineStr">
        <is>
          <t>连接器模板管理</t>
        </is>
      </c>
      <c r="E79" s="54" t="inlineStr">
        <is>
          <t>连接器模板库与复用</t>
        </is>
      </c>
      <c r="F79" s="55" t="inlineStr">
        <is>
          <t>未覆盖</t>
        </is>
      </c>
      <c r="G79" s="54" t="inlineStr">
        <is>
          <t>二期 / 后续（本次确认：缓/后期）</t>
        </is>
      </c>
      <c r="H79" s="54" t="inlineStr">
        <is>
          <t>二期·连接器模板库与复用</t>
        </is>
      </c>
    </row>
    <row r="80" ht="36" customHeight="1">
      <c r="A80" s="54" t="inlineStr">
        <is>
          <t>Phase2：能力优化与冷数据承接</t>
        </is>
      </c>
      <c r="B80" s="54" t="inlineStr">
        <is>
          <t>模块 7：多源系统集成与标准化连接器</t>
        </is>
      </c>
      <c r="C80" s="54" t="inlineStr">
        <is>
          <t>连接器统一运维</t>
        </is>
      </c>
      <c r="D80" s="54" t="inlineStr">
        <is>
          <t>连接器运行监控与审计</t>
        </is>
      </c>
      <c r="E80" s="54" t="inlineStr">
        <is>
          <t>连接器状态监控</t>
        </is>
      </c>
      <c r="F80" s="55" t="inlineStr">
        <is>
          <t>未覆盖</t>
        </is>
      </c>
      <c r="G80" s="54" t="inlineStr">
        <is>
          <t>二期 / 后续（本次确认：缓/后期）</t>
        </is>
      </c>
      <c r="H80" s="54" t="inlineStr">
        <is>
          <t>二期·连接器状态监控</t>
        </is>
      </c>
    </row>
    <row r="81" ht="36" customHeight="1">
      <c r="A81" s="54" t="inlineStr">
        <is>
          <t>Phase2：能力优化与冷数据承接</t>
        </is>
      </c>
      <c r="B81" s="54" t="inlineStr">
        <is>
          <t>模块 7：多源系统集成与标准化连接器</t>
        </is>
      </c>
      <c r="C81" s="54" t="inlineStr">
        <is>
          <t>连接器统一运维</t>
        </is>
      </c>
      <c r="D81" s="54" t="inlineStr">
        <is>
          <t>连接器运行监控与审计</t>
        </is>
      </c>
      <c r="E81" s="54" t="inlineStr">
        <is>
          <t>连接器日志与审计</t>
        </is>
      </c>
      <c r="F81" s="55" t="inlineStr">
        <is>
          <t>未覆盖</t>
        </is>
      </c>
      <c r="G81" s="54" t="inlineStr">
        <is>
          <t>二期 / 后续（本次确认：缓/后期）</t>
        </is>
      </c>
      <c r="H81" s="54" t="inlineStr">
        <is>
          <t>二期·连接器日志与审计</t>
        </is>
      </c>
    </row>
    <row r="82" ht="36" customHeight="1">
      <c r="A82" s="54" t="inlineStr">
        <is>
          <t>Phase2：能力优化与冷数据承接</t>
        </is>
      </c>
      <c r="B82" s="54" t="inlineStr">
        <is>
          <t>模块 8：系统全局治理、运维与监控</t>
        </is>
      </c>
      <c r="C82" s="54" t="inlineStr">
        <is>
          <t>保障系统稳定运行与查询性能</t>
        </is>
      </c>
      <c r="D82" s="54" t="inlineStr">
        <is>
          <t>系统运行监控与稳定性保障</t>
        </is>
      </c>
      <c r="E82" s="54" t="inlineStr">
        <is>
          <t>系统监控告警</t>
        </is>
      </c>
      <c r="F82" s="55" t="inlineStr">
        <is>
          <t>未覆盖</t>
        </is>
      </c>
      <c r="G82" s="54" t="inlineStr">
        <is>
          <t>二期 / 后续（本次确认：缓/后期）</t>
        </is>
      </c>
      <c r="H82" s="54" t="inlineStr">
        <is>
          <t>二期·系统监控告警(DevOps)</t>
        </is>
      </c>
    </row>
    <row r="83" ht="36" customHeight="1">
      <c r="A83" s="54" t="inlineStr">
        <is>
          <t>Phase2：能力优化与冷数据承接</t>
        </is>
      </c>
      <c r="B83" s="54" t="inlineStr">
        <is>
          <t>模块 8：系统全局治理、运维与监控</t>
        </is>
      </c>
      <c r="C83" s="54" t="inlineStr">
        <is>
          <t>保障系统稳定运行与查询性能</t>
        </is>
      </c>
      <c r="D83" s="54" t="inlineStr">
        <is>
          <t>系统运行监控与稳定性保障</t>
        </is>
      </c>
      <c r="E83" s="54" t="inlineStr">
        <is>
          <t>系统稳定性保障</t>
        </is>
      </c>
      <c r="F83" s="55" t="inlineStr">
        <is>
          <t>未覆盖</t>
        </is>
      </c>
      <c r="G83" s="54" t="inlineStr">
        <is>
          <t>二期 / 后续（本次确认：缓/后期）</t>
        </is>
      </c>
      <c r="H83" s="54" t="inlineStr">
        <is>
          <t>二期·系统稳定性保障(DevOps/基建)</t>
        </is>
      </c>
    </row>
    <row r="84" ht="36" customHeight="1">
      <c r="A84" s="54" t="inlineStr">
        <is>
          <t>Phase2：能力优化与冷数据承接</t>
        </is>
      </c>
      <c r="B84" s="54" t="inlineStr">
        <is>
          <t>模块 8：系统全局治理、运维与监控</t>
        </is>
      </c>
      <c r="C84" s="54" t="inlineStr">
        <is>
          <t>按角色控制数据访问范围</t>
        </is>
      </c>
      <c r="D84" s="54" t="inlineStr">
        <is>
          <t>细粒度数据访问控制</t>
        </is>
      </c>
      <c r="E84" s="54" t="inlineStr">
        <is>
          <t>记录级权限控制</t>
        </is>
      </c>
      <c r="F84" s="55" t="inlineStr">
        <is>
          <t>未覆盖</t>
        </is>
      </c>
      <c r="G84" s="54" t="inlineStr">
        <is>
          <t>二期 / 后续（本次确认：缓/后期）</t>
        </is>
      </c>
      <c r="H84" s="54" t="inlineStr">
        <is>
          <t>二期·记录级权限控制</t>
        </is>
      </c>
    </row>
    <row r="85" ht="36" customHeight="1">
      <c r="A85" s="54" t="inlineStr">
        <is>
          <t>Phase2：能力优化与冷数据承接</t>
        </is>
      </c>
      <c r="B85" s="54" t="inlineStr">
        <is>
          <t>模块 8：系统全局治理、运维与监控</t>
        </is>
      </c>
      <c r="C85" s="54" t="inlineStr">
        <is>
          <t>按角色控制数据访问范围</t>
        </is>
      </c>
      <c r="D85" s="54" t="inlineStr">
        <is>
          <t>细粒度数据访问控制</t>
        </is>
      </c>
      <c r="E85" s="54" t="inlineStr">
        <is>
          <t>字段级权限控制</t>
        </is>
      </c>
      <c r="F85" s="55" t="inlineStr">
        <is>
          <t>未覆盖</t>
        </is>
      </c>
      <c r="G85" s="54" t="inlineStr">
        <is>
          <t>二期 / 后续（本次确认：缓/后期）</t>
        </is>
      </c>
      <c r="H85" s="54" t="inlineStr">
        <is>
          <t>二期·字段级权限控制</t>
        </is>
      </c>
    </row>
    <row r="86" ht="36" customHeight="1">
      <c r="A86" s="54" t="inlineStr">
        <is>
          <t>Phase2：能力优化与冷数据承接</t>
        </is>
      </c>
      <c r="B86" s="54" t="inlineStr">
        <is>
          <t>模块 8：系统全局治理、运维与监控</t>
        </is>
      </c>
      <c r="C86" s="54" t="inlineStr">
        <is>
          <t>按角色控制数据访问范围</t>
        </is>
      </c>
      <c r="D86" s="54" t="inlineStr">
        <is>
          <t>权限申请与变更审批</t>
        </is>
      </c>
      <c r="E86" s="54" t="inlineStr">
        <is>
          <t>权限申请与审批</t>
        </is>
      </c>
      <c r="F86" s="55" t="inlineStr">
        <is>
          <t>未覆盖</t>
        </is>
      </c>
      <c r="G86" s="54" t="inlineStr">
        <is>
          <t>二期 / 后续（本次确认：缓/后期）</t>
        </is>
      </c>
      <c r="H86" s="54" t="inlineStr">
        <is>
          <t>二期·权限申请与审批</t>
        </is>
      </c>
    </row>
    <row r="87" ht="36" customHeight="1">
      <c r="A87" s="54" t="inlineStr">
        <is>
          <t>Phase2：能力优化与冷数据承接</t>
        </is>
      </c>
      <c r="B87" s="54" t="inlineStr">
        <is>
          <t>模块 8：系统全局治理、运维与监控</t>
        </is>
      </c>
      <c r="C87" s="54" t="inlineStr">
        <is>
          <t>关键操作合规审批</t>
        </is>
      </c>
      <c r="D87" s="54" t="inlineStr">
        <is>
          <t>权限申请与变更审批</t>
        </is>
      </c>
      <c r="E87" s="54" t="inlineStr">
        <is>
          <t>权限变更审批流</t>
        </is>
      </c>
      <c r="F87" s="55" t="inlineStr">
        <is>
          <t>未覆盖</t>
        </is>
      </c>
      <c r="G87" s="54" t="inlineStr">
        <is>
          <t>二期 / 后续（本次确认：缓/后期）</t>
        </is>
      </c>
      <c r="H87" s="54" t="inlineStr">
        <is>
          <t>二期·权限变更审批流</t>
        </is>
      </c>
    </row>
    <row r="88" ht="36" customHeight="1">
      <c r="A88" s="54" t="inlineStr">
        <is>
          <t>Phase3：AI智能化赋能</t>
        </is>
      </c>
      <c r="B88" s="54" t="inlineStr">
        <is>
          <t>模块 2：实时数据接入与常态化数据治理</t>
        </is>
      </c>
      <c r="C88" s="54" t="inlineStr">
        <is>
          <t>自动提取附件与数据中的业务信息</t>
        </is>
      </c>
      <c r="D88" s="54" t="inlineStr">
        <is>
          <t>智能内容解析与信息提取</t>
        </is>
      </c>
      <c r="E88" s="54" t="inlineStr">
        <is>
          <t>文档内容自动解析</t>
        </is>
      </c>
      <c r="F88" s="55" t="inlineStr">
        <is>
          <t>未覆盖</t>
        </is>
      </c>
      <c r="G88" s="54" t="inlineStr">
        <is>
          <t>AI 智能化 · 后续（未逐条确认）</t>
        </is>
      </c>
      <c r="H88" s="54" t="inlineStr">
        <is>
          <t>AI 智能化整组，二期后评估，未逐条确认</t>
        </is>
      </c>
    </row>
    <row r="89" ht="36" customHeight="1">
      <c r="A89" s="54" t="inlineStr">
        <is>
          <t>Phase3：AI智能化赋能</t>
        </is>
      </c>
      <c r="B89" s="54" t="inlineStr">
        <is>
          <t>模块 2：实时数据接入与常态化数据治理</t>
        </is>
      </c>
      <c r="C89" s="54" t="inlineStr">
        <is>
          <t>自动提取附件与数据中的业务信息</t>
        </is>
      </c>
      <c r="D89" s="54" t="inlineStr">
        <is>
          <t>智能内容解析与信息提取</t>
        </is>
      </c>
      <c r="E89" s="54" t="inlineStr">
        <is>
          <t>结构化数据自动解析</t>
        </is>
      </c>
      <c r="F89" s="55" t="inlineStr">
        <is>
          <t>未覆盖</t>
        </is>
      </c>
      <c r="G89" s="54" t="inlineStr">
        <is>
          <t>AI 智能化 · 后续（未逐条确认）</t>
        </is>
      </c>
      <c r="H89" s="54" t="inlineStr">
        <is>
          <t>AI 智能化整组，二期后评估，未逐条确认</t>
        </is>
      </c>
    </row>
    <row r="90" ht="36" customHeight="1">
      <c r="A90" s="54" t="inlineStr">
        <is>
          <t>Phase3：AI智能化赋能</t>
        </is>
      </c>
      <c r="B90" s="54" t="inlineStr">
        <is>
          <t>模块 2：实时数据接入与常态化数据治理</t>
        </is>
      </c>
      <c r="C90" s="54" t="inlineStr">
        <is>
          <t>自动提取附件与数据中的业务信息</t>
        </is>
      </c>
      <c r="D90" s="54" t="inlineStr">
        <is>
          <t>智能内容解析与信息提取</t>
        </is>
      </c>
      <c r="E90" s="54" t="inlineStr">
        <is>
          <t>核心业务信息提取</t>
        </is>
      </c>
      <c r="F90" s="55" t="inlineStr">
        <is>
          <t>未覆盖</t>
        </is>
      </c>
      <c r="G90" s="54" t="inlineStr">
        <is>
          <t>AI 智能化 · 后续（未逐条确认）</t>
        </is>
      </c>
      <c r="H90" s="54" t="inlineStr">
        <is>
          <t>AI 智能化整组，二期后评估，未逐条确认</t>
        </is>
      </c>
    </row>
    <row r="91" ht="36" customHeight="1">
      <c r="A91" s="54" t="inlineStr">
        <is>
          <t>Phase3：AI智能化赋能</t>
        </is>
      </c>
      <c r="B91" s="54" t="inlineStr">
        <is>
          <t>模块 2：实时数据接入与常态化数据治理</t>
        </is>
      </c>
      <c r="C91" s="54" t="inlineStr">
        <is>
          <t>自动提取附件与数据中的业务信息</t>
        </is>
      </c>
      <c r="D91" s="54" t="inlineStr">
        <is>
          <t>智能内容解析与信息提取</t>
        </is>
      </c>
      <c r="E91" s="54" t="inlineStr">
        <is>
          <t>解析结果人工校验</t>
        </is>
      </c>
      <c r="F91" s="55" t="inlineStr">
        <is>
          <t>未覆盖</t>
        </is>
      </c>
      <c r="G91" s="54" t="inlineStr">
        <is>
          <t>AI 智能化 · 后续（未逐条确认）</t>
        </is>
      </c>
      <c r="H91" s="54" t="inlineStr">
        <is>
          <t>AI 智能化整组，二期后评估，未逐条确认</t>
        </is>
      </c>
    </row>
    <row r="92" ht="36" customHeight="1">
      <c r="A92" s="54" t="inlineStr">
        <is>
          <t>Phase3：AI智能化赋能</t>
        </is>
      </c>
      <c r="B92" s="54" t="inlineStr">
        <is>
          <t>模块 2：实时数据接入与常态化数据治理</t>
        </is>
      </c>
      <c r="C92" s="54" t="inlineStr">
        <is>
          <t>海量归档数据自动规整</t>
        </is>
      </c>
      <c r="D92" s="54" t="inlineStr">
        <is>
          <t>智能分类与语义标签</t>
        </is>
      </c>
      <c r="E92" s="54" t="inlineStr">
        <is>
          <t>基于AI的自动分类</t>
        </is>
      </c>
      <c r="F92" s="55" t="inlineStr">
        <is>
          <t>未覆盖</t>
        </is>
      </c>
      <c r="G92" s="54" t="inlineStr">
        <is>
          <t>AI 智能化 · 后续（未逐条确认）</t>
        </is>
      </c>
      <c r="H92" s="54" t="inlineStr">
        <is>
          <t>AI 智能化整组，二期后评估，未逐条确认</t>
        </is>
      </c>
    </row>
    <row r="93" ht="36" customHeight="1">
      <c r="A93" s="54" t="inlineStr">
        <is>
          <t>Phase3：AI智能化赋能</t>
        </is>
      </c>
      <c r="B93" s="54" t="inlineStr">
        <is>
          <t>模块 2：实时数据接入与常态化数据治理</t>
        </is>
      </c>
      <c r="C93" s="54" t="inlineStr">
        <is>
          <t>海量归档数据自动规整</t>
        </is>
      </c>
      <c r="D93" s="54" t="inlineStr">
        <is>
          <t>智能分类与语义标签</t>
        </is>
      </c>
      <c r="E93" s="54" t="inlineStr">
        <is>
          <t>AI语义标签生成</t>
        </is>
      </c>
      <c r="F93" s="55" t="inlineStr">
        <is>
          <t>未覆盖</t>
        </is>
      </c>
      <c r="G93" s="54" t="inlineStr">
        <is>
          <t>AI 智能化 · 后续（未逐条确认）</t>
        </is>
      </c>
      <c r="H93" s="54" t="inlineStr">
        <is>
          <t>AI 智能化整组，二期后评估，未逐条确认</t>
        </is>
      </c>
    </row>
    <row r="94" ht="36" customHeight="1">
      <c r="A94" s="54" t="inlineStr">
        <is>
          <t>Phase3：AI智能化赋能</t>
        </is>
      </c>
      <c r="B94" s="54" t="inlineStr">
        <is>
          <t>模块 2：实时数据接入与常态化数据治理</t>
        </is>
      </c>
      <c r="C94" s="54" t="inlineStr">
        <is>
          <t>海量归档数据自动规整</t>
        </is>
      </c>
      <c r="D94" s="54" t="inlineStr">
        <is>
          <t>数据质量管理</t>
        </is>
      </c>
      <c r="E94" s="54" t="inlineStr">
        <is>
          <t>重复数据识别</t>
        </is>
      </c>
      <c r="F94" s="55" t="inlineStr">
        <is>
          <t>未覆盖</t>
        </is>
      </c>
      <c r="G94" s="54" t="inlineStr">
        <is>
          <t>AI 智能化 · 后续（未逐条确认）</t>
        </is>
      </c>
      <c r="H94" s="54" t="inlineStr">
        <is>
          <t>AI 智能化整组，二期后评估，未逐条确认</t>
        </is>
      </c>
    </row>
    <row r="95" ht="36" customHeight="1">
      <c r="A95" s="54" t="inlineStr">
        <is>
          <t>Phase3：AI智能化赋能</t>
        </is>
      </c>
      <c r="B95" s="54" t="inlineStr">
        <is>
          <t>模块 2：实时数据接入与常态化数据治理</t>
        </is>
      </c>
      <c r="C95" s="54" t="inlineStr">
        <is>
          <t>海量归档数据自动规整</t>
        </is>
      </c>
      <c r="D95" s="54" t="inlineStr">
        <is>
          <t>数据关联关系智能挖掘</t>
        </is>
      </c>
      <c r="E95" s="54" t="inlineStr">
        <is>
          <t>数据关联关系挖掘</t>
        </is>
      </c>
      <c r="F95" s="55" t="inlineStr">
        <is>
          <t>未覆盖</t>
        </is>
      </c>
      <c r="G95" s="54" t="inlineStr">
        <is>
          <t>AI 智能化 · 后续（未逐条确认）</t>
        </is>
      </c>
      <c r="H95" s="54" t="inlineStr">
        <is>
          <t>AI 智能化整组，二期后评估，未逐条确认</t>
        </is>
      </c>
    </row>
    <row r="96" ht="36" customHeight="1">
      <c r="A96" s="54" t="inlineStr">
        <is>
          <t>Phase3：AI智能化赋能</t>
        </is>
      </c>
      <c r="B96" s="54" t="inlineStr">
        <is>
          <t>模块 2：实时数据接入与常态化数据治理</t>
        </is>
      </c>
      <c r="C96" s="54" t="inlineStr">
        <is>
          <t>海量归档数据自动规整</t>
        </is>
      </c>
      <c r="D96" s="54" t="inlineStr">
        <is>
          <t>智能分类与语义标签</t>
        </is>
      </c>
      <c r="E96" s="54" t="inlineStr">
        <is>
          <t>分类结果人工确认</t>
        </is>
      </c>
      <c r="F96" s="55" t="inlineStr">
        <is>
          <t>未覆盖</t>
        </is>
      </c>
      <c r="G96" s="54" t="inlineStr">
        <is>
          <t>AI 智能化 · 后续（未逐条确认）</t>
        </is>
      </c>
      <c r="H96" s="54" t="inlineStr">
        <is>
          <t>AI 智能化整组，二期后评估，未逐条确认</t>
        </is>
      </c>
    </row>
    <row r="97" ht="36" customHeight="1">
      <c r="A97" s="54" t="inlineStr">
        <is>
          <t>Phase3：AI智能化赋能</t>
        </is>
      </c>
      <c r="B97" s="54" t="inlineStr">
        <is>
          <t>模块 2：实时数据接入与常态化数据治理</t>
        </is>
      </c>
      <c r="C97" s="54" t="inlineStr">
        <is>
          <t>合规核查与风险预警</t>
        </is>
      </c>
      <c r="D97" s="54" t="inlineStr">
        <is>
          <t>数据质量管理</t>
        </is>
      </c>
      <c r="E97" s="54" t="inlineStr">
        <is>
          <t>异常数据识别</t>
        </is>
      </c>
      <c r="F97" s="55" t="inlineStr">
        <is>
          <t>未覆盖</t>
        </is>
      </c>
      <c r="G97" s="54" t="inlineStr">
        <is>
          <t>AI 智能化 · 后续（未逐条确认）</t>
        </is>
      </c>
      <c r="H97" s="54" t="inlineStr">
        <is>
          <t>AI 智能化整组，二期后评估，未逐条确认</t>
        </is>
      </c>
    </row>
    <row r="98" ht="36" customHeight="1">
      <c r="A98" s="54" t="inlineStr">
        <is>
          <t>Phase3：AI智能化赋能</t>
        </is>
      </c>
      <c r="B98" s="54" t="inlineStr">
        <is>
          <t>模块 5：档案检索、智能发现与业务利用</t>
        </is>
      </c>
      <c r="C98" s="54" t="inlineStr">
        <is>
          <t>突破关键词检索限制</t>
        </is>
      </c>
      <c r="D98" s="54" t="inlineStr">
        <is>
          <t>智能语义检索与匹配</t>
        </is>
      </c>
      <c r="E98" s="54" t="inlineStr">
        <is>
          <t>语义检索</t>
        </is>
      </c>
      <c r="F98" s="55" t="inlineStr">
        <is>
          <t>未覆盖</t>
        </is>
      </c>
      <c r="G98" s="54" t="inlineStr">
        <is>
          <t>AI 智能化 · 后续（未逐条确认）</t>
        </is>
      </c>
      <c r="H98" s="54" t="inlineStr">
        <is>
          <t>AI 智能化整组，二期后评估，未逐条确认</t>
        </is>
      </c>
    </row>
    <row r="99" ht="36" customHeight="1">
      <c r="A99" s="54" t="inlineStr">
        <is>
          <t>Phase3：AI智能化赋能</t>
        </is>
      </c>
      <c r="B99" s="54" t="inlineStr">
        <is>
          <t>模块 5：档案检索、智能发现与业务利用</t>
        </is>
      </c>
      <c r="C99" s="54" t="inlineStr">
        <is>
          <t>突破关键词检索限制</t>
        </is>
      </c>
      <c r="D99" s="54" t="inlineStr">
        <is>
          <t>智能语义检索与匹配</t>
        </is>
      </c>
      <c r="E99" s="54" t="inlineStr">
        <is>
          <t>模糊智能匹配</t>
        </is>
      </c>
      <c r="F99" s="55" t="inlineStr">
        <is>
          <t>未覆盖</t>
        </is>
      </c>
      <c r="G99" s="54" t="inlineStr">
        <is>
          <t>AI 智能化 · 后续（未逐条确认）</t>
        </is>
      </c>
      <c r="H99" s="54" t="inlineStr">
        <is>
          <t>AI 智能化整组，二期后评估，未逐条确认</t>
        </is>
      </c>
    </row>
    <row r="100" ht="36" customHeight="1">
      <c r="A100" s="54" t="inlineStr">
        <is>
          <t>Phase3：AI智能化赋能</t>
        </is>
      </c>
      <c r="B100" s="54" t="inlineStr">
        <is>
          <t>模块 5：档案检索、智能发现与业务利用</t>
        </is>
      </c>
      <c r="C100" s="54" t="inlineStr">
        <is>
          <t>突破关键词检索限制</t>
        </is>
      </c>
      <c r="D100" s="54" t="inlineStr">
        <is>
          <t>关联档案智能推荐</t>
        </is>
      </c>
      <c r="E100" s="54" t="inlineStr">
        <is>
          <t>关联数据智能推荐</t>
        </is>
      </c>
      <c r="F100" s="55" t="inlineStr">
        <is>
          <t>未覆盖</t>
        </is>
      </c>
      <c r="G100" s="54" t="inlineStr">
        <is>
          <t>AI 智能化 · 后续（未逐条确认）</t>
        </is>
      </c>
      <c r="H100" s="54" t="inlineStr">
        <is>
          <t>AI 智能化整组，二期后评估，未逐条确认</t>
        </is>
      </c>
    </row>
    <row r="101" ht="36" customHeight="1">
      <c r="A101" s="54" t="inlineStr">
        <is>
          <t>Phase3：AI智能化赋能</t>
        </is>
      </c>
      <c r="B101" s="54" t="inlineStr">
        <is>
          <t>模块 5：档案检索、智能发现与业务利用</t>
        </is>
      </c>
      <c r="C101" s="54" t="inlineStr">
        <is>
          <t>突破关键词检索限制</t>
        </is>
      </c>
      <c r="D101" s="54" t="inlineStr">
        <is>
          <t>档案自然语言问答</t>
        </is>
      </c>
      <c r="E101" s="54" t="inlineStr">
        <is>
          <t>自然语言问答</t>
        </is>
      </c>
      <c r="F101" s="55" t="inlineStr">
        <is>
          <t>未覆盖</t>
        </is>
      </c>
      <c r="G101" s="54" t="inlineStr">
        <is>
          <t>AI 智能化 · 后续（未逐条确认）</t>
        </is>
      </c>
      <c r="H101" s="54" t="inlineStr">
        <is>
          <t>AI 智能化整组，二期后评估，未逐条确认</t>
        </is>
      </c>
    </row>
    <row r="102" ht="36" customHeight="1">
      <c r="A102" s="54" t="inlineStr">
        <is>
          <t>Phase3：AI智能化赋能</t>
        </is>
      </c>
      <c r="B102" s="54" t="inlineStr">
        <is>
          <t>模块 5：档案检索、智能发现与业务利用</t>
        </is>
      </c>
      <c r="C102" s="54" t="inlineStr">
        <is>
          <t>突破关键词检索限制</t>
        </is>
      </c>
      <c r="D102" s="54" t="inlineStr">
        <is>
          <t>搜索结果智能排序</t>
        </is>
      </c>
      <c r="E102" s="54" t="inlineStr">
        <is>
          <t>搜索结果智能排序</t>
        </is>
      </c>
      <c r="F102" s="55" t="inlineStr">
        <is>
          <t>未覆盖</t>
        </is>
      </c>
      <c r="G102" s="54" t="inlineStr">
        <is>
          <t>AI 智能化 · 后续（未逐条确认）</t>
        </is>
      </c>
      <c r="H102" s="54" t="inlineStr">
        <is>
          <t>AI 智能化整组，二期后评估，未逐条确认</t>
        </is>
      </c>
    </row>
    <row r="103" ht="36" customHeight="1">
      <c r="A103" s="54" t="inlineStr">
        <is>
          <t>Phase3：AI智能化赋能</t>
        </is>
      </c>
      <c r="B103" s="54" t="inlineStr">
        <is>
          <t>模块 6：合规管控、审计追踪与合规报表</t>
        </is>
      </c>
      <c r="C103" s="54" t="inlineStr">
        <is>
          <t>合规核查与风险预警</t>
        </is>
      </c>
      <c r="D103" s="54" t="inlineStr">
        <is>
          <t>智能合规风险识别与提醒</t>
        </is>
      </c>
      <c r="E103" s="54" t="inlineStr">
        <is>
          <t>留存周期智能提醒</t>
        </is>
      </c>
      <c r="F103" s="55" t="inlineStr">
        <is>
          <t>未覆盖</t>
        </is>
      </c>
      <c r="G103" s="54" t="inlineStr">
        <is>
          <t>AI 智能化 · 后续（未逐条确认）</t>
        </is>
      </c>
      <c r="H103" s="54" t="inlineStr">
        <is>
          <t>AI 智能化整组，二期后评估，未逐条确认</t>
        </is>
      </c>
    </row>
    <row r="104" ht="36" customHeight="1">
      <c r="A104" s="54" t="inlineStr">
        <is>
          <t>Phase3：AI智能化赋能</t>
        </is>
      </c>
      <c r="B104" s="54" t="inlineStr">
        <is>
          <t>模块 6：合规管控、审计追踪与合规报表</t>
        </is>
      </c>
      <c r="C104" s="54" t="inlineStr">
        <is>
          <t>合规核查与风险预警</t>
        </is>
      </c>
      <c r="D104" s="54" t="inlineStr">
        <is>
          <t>智能合规风险识别与提醒</t>
        </is>
      </c>
      <c r="E104" s="54" t="inlineStr">
        <is>
          <t>合规风险预警</t>
        </is>
      </c>
      <c r="F104" s="55" t="inlineStr">
        <is>
          <t>未覆盖</t>
        </is>
      </c>
      <c r="G104" s="54" t="inlineStr">
        <is>
          <t>AI 智能化 · 后续（未逐条确认）</t>
        </is>
      </c>
      <c r="H104" s="54" t="inlineStr">
        <is>
          <t>AI 智能化整组，二期后评估，未逐条确认</t>
        </is>
      </c>
    </row>
    <row r="105" ht="36" customHeight="1">
      <c r="A105" s="54" t="inlineStr">
        <is>
          <t>Phase3：AI智能化赋能</t>
        </is>
      </c>
      <c r="B105" s="54" t="inlineStr">
        <is>
          <t>模块 6：合规管控、审计追踪与合规报表</t>
        </is>
      </c>
      <c r="C105" s="54" t="inlineStr">
        <is>
          <t>合规核查与风险预警</t>
        </is>
      </c>
      <c r="D105" s="54" t="inlineStr">
        <is>
          <t>智能审计建议生成</t>
        </is>
      </c>
      <c r="E105" s="54" t="inlineStr">
        <is>
          <t>审计建议生成</t>
        </is>
      </c>
      <c r="F105" s="55" t="inlineStr">
        <is>
          <t>未覆盖</t>
        </is>
      </c>
      <c r="G105" s="54" t="inlineStr">
        <is>
          <t>AI 智能化 · 后续（未逐条确认）</t>
        </is>
      </c>
      <c r="H105" s="54" t="inlineStr">
        <is>
          <t>AI 智能化整组，二期后评估，未逐条确认</t>
        </is>
      </c>
    </row>
    <row r="106" ht="36" customHeight="1">
      <c r="A106" s="54" t="inlineStr">
        <is>
          <t>Phase3：AI智能化赋能</t>
        </is>
      </c>
      <c r="B106" s="54" t="inlineStr">
        <is>
          <t>模块 6：合规管控、审计追踪与合规报表</t>
        </is>
      </c>
      <c r="C106" s="54" t="inlineStr">
        <is>
          <t>合规核查与风险预警</t>
        </is>
      </c>
      <c r="D106" s="54" t="inlineStr">
        <is>
          <t>智能合规风险识别与提醒</t>
        </is>
      </c>
      <c r="E106" s="54" t="inlineStr">
        <is>
          <t>敏感信息识别</t>
        </is>
      </c>
      <c r="F106" s="55" t="inlineStr">
        <is>
          <t>未覆盖</t>
        </is>
      </c>
      <c r="G106" s="54" t="inlineStr">
        <is>
          <t>AI 智能化 · 后续（未逐条确认）</t>
        </is>
      </c>
      <c r="H106" s="54" t="inlineStr">
        <is>
          <t>AI 智能化整组，二期后评估，未逐条确认</t>
        </is>
      </c>
    </row>
    <row r="107" ht="36" customHeight="1">
      <c r="A107" s="54" t="inlineStr">
        <is>
          <t>Phase3：AI智能化赋能</t>
        </is>
      </c>
      <c r="B107" s="54" t="inlineStr">
        <is>
          <t>模块 6：合规管控、审计追踪与合规报表</t>
        </is>
      </c>
      <c r="C107" s="54" t="inlineStr">
        <is>
          <t>自动生成归档数据报告</t>
        </is>
      </c>
      <c r="D107" s="54" t="inlineStr">
        <is>
          <t>智能报表与分析生成</t>
        </is>
      </c>
      <c r="E107" s="54" t="inlineStr">
        <is>
          <t>归档数据智能报表</t>
        </is>
      </c>
      <c r="F107" s="55" t="inlineStr">
        <is>
          <t>未覆盖</t>
        </is>
      </c>
      <c r="G107" s="54" t="inlineStr">
        <is>
          <t>AI 智能化 · 后续（未逐条确认）</t>
        </is>
      </c>
      <c r="H107" s="54" t="inlineStr">
        <is>
          <t>AI 智能化整组，二期后评估，未逐条确认</t>
        </is>
      </c>
    </row>
    <row r="108" ht="36" customHeight="1">
      <c r="A108" s="54" t="inlineStr">
        <is>
          <t>Phase3：AI智能化赋能</t>
        </is>
      </c>
      <c r="B108" s="54" t="inlineStr">
        <is>
          <t>模块 6：合规管控、审计追踪与合规报表</t>
        </is>
      </c>
      <c r="C108" s="54" t="inlineStr">
        <is>
          <t>自动生成归档数据报告</t>
        </is>
      </c>
      <c r="D108" s="54" t="inlineStr">
        <is>
          <t>智能报表与分析生成</t>
        </is>
      </c>
      <c r="E108" s="54" t="inlineStr">
        <is>
          <t>审计台账自动生成</t>
        </is>
      </c>
      <c r="F108" s="55" t="inlineStr">
        <is>
          <t>未覆盖</t>
        </is>
      </c>
      <c r="G108" s="54" t="inlineStr">
        <is>
          <t>AI 智能化 · 后续（未逐条确认）</t>
        </is>
      </c>
      <c r="H108" s="54" t="inlineStr">
        <is>
          <t>AI 智能化整组，二期后评估，未逐条确认</t>
        </is>
      </c>
    </row>
    <row r="109" ht="36" customHeight="1">
      <c r="A109" s="54" t="inlineStr">
        <is>
          <t>Phase3：AI智能化赋能</t>
        </is>
      </c>
      <c r="B109" s="54" t="inlineStr">
        <is>
          <t>模块 6：合规管控、审计追踪与合规报表</t>
        </is>
      </c>
      <c r="C109" s="54" t="inlineStr">
        <is>
          <t>自动生成归档数据报告</t>
        </is>
      </c>
      <c r="D109" s="54" t="inlineStr">
        <is>
          <t>智能报表与分析生成</t>
        </is>
      </c>
      <c r="E109" s="54" t="inlineStr">
        <is>
          <t>业务复盘数据生成</t>
        </is>
      </c>
      <c r="F109" s="55" t="inlineStr">
        <is>
          <t>未覆盖</t>
        </is>
      </c>
      <c r="G109" s="54" t="inlineStr">
        <is>
          <t>AI 智能化 · 后续（未逐条确认）</t>
        </is>
      </c>
      <c r="H109" s="54" t="inlineStr">
        <is>
          <t>AI 智能化整组，二期后评估，未逐条确认</t>
        </is>
      </c>
    </row>
    <row r="110" ht="36" customHeight="1">
      <c r="A110" s="54" t="inlineStr">
        <is>
          <t>Phase3：AI智能化赋能</t>
        </is>
      </c>
      <c r="B110" s="54" t="inlineStr">
        <is>
          <t>模块 6：合规管控、审计追踪与合规报表</t>
        </is>
      </c>
      <c r="C110" s="54" t="inlineStr">
        <is>
          <t>自动生成归档数据报告</t>
        </is>
      </c>
      <c r="D110" s="54" t="inlineStr">
        <is>
          <t>智能报表与分析生成</t>
        </is>
      </c>
      <c r="E110" s="54" t="inlineStr">
        <is>
          <t>数据趋势智能分析</t>
        </is>
      </c>
      <c r="F110" s="55" t="inlineStr">
        <is>
          <t>未覆盖</t>
        </is>
      </c>
      <c r="G110" s="54" t="inlineStr">
        <is>
          <t>AI 智能化 · 后续（未逐条确认）</t>
        </is>
      </c>
      <c r="H110" s="54" t="inlineStr">
        <is>
          <t>AI 智能化整组，二期后评估，未逐条确认</t>
        </is>
      </c>
    </row>
    <row r="111" ht="36" customHeight="1">
      <c r="A111" s="54" t="inlineStr">
        <is>
          <t>Phase3：AI智能化赋能</t>
        </is>
      </c>
      <c r="B111" s="54" t="inlineStr">
        <is>
          <t>模块 6：合规管控、审计追踪与合规报表</t>
        </is>
      </c>
      <c r="C111" s="54" t="inlineStr">
        <is>
          <t>自动生成归档数据报告</t>
        </is>
      </c>
      <c r="D111" s="54" t="inlineStr">
        <is>
          <t>报告自动生成与分发</t>
        </is>
      </c>
      <c r="E111" s="54" t="inlineStr">
        <is>
          <t>报告自动分发</t>
        </is>
      </c>
      <c r="F111" s="55" t="inlineStr">
        <is>
          <t>未覆盖</t>
        </is>
      </c>
      <c r="G111" s="54" t="inlineStr">
        <is>
          <t>AI 智能化 · 后续（未逐条确认）</t>
        </is>
      </c>
      <c r="H111" s="54" t="inlineStr">
        <is>
          <t>AI 智能化整组，二期后评估，未逐条确认</t>
        </is>
      </c>
    </row>
  </sheetData>
  <autoFilter ref="A3:H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2026-09-09T17:03:00Z</dcterms:created>
  <dcterms:modified xmlns:dcterms="http://purl.org/dc/terms/" xmlns:xsi="http://www.w3.org/2001/XMLSchema-instance" xsi:type="dcterms:W3CDTF">2026-09-09T10:26:40Z</dcterms:modified>
  <cp:lastModifiedBy>chenyong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79E8C34ECF4B7AF49F2DA16A45226BDF_42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