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640" tabRatio="600" firstSheet="0" activeTab="2" autoFilterDateGrouping="1"/>
  </bookViews>
  <sheets>
    <sheet name="团队角色与分工" sheetId="1" state="visible" r:id="rId1"/>
    <sheet name="Sprint 计划总览" sheetId="2" state="visible" r:id="rId2"/>
    <sheet name="周计划明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;&quot;￥&quot;\-#,##0"/>
  </numFmts>
  <fonts count="98">
    <font>
      <name val="宋体"/>
      <charset val="134"/>
      <color theme="1"/>
      <sz val="11"/>
      <scheme val="minor"/>
    </font>
    <font>
      <name val="Microsoft YaHei"/>
      <charset val="134"/>
      <b val="1"/>
      <color rgb="FF0F172A"/>
      <sz val="13"/>
    </font>
    <font>
      <name val="Microsoft YaHei"/>
      <charset val="134"/>
      <color rgb="FF64748B"/>
      <sz val="8.5"/>
    </font>
    <font>
      <name val="Microsoft YaHei"/>
      <charset val="134"/>
      <b val="1"/>
      <color rgb="FFFFFFFF"/>
      <sz val="9.5"/>
    </font>
    <font>
      <name val="Microsoft YaHei"/>
      <charset val="134"/>
      <b val="1"/>
      <color rgb="FF64748B"/>
      <sz val="8.5"/>
    </font>
    <font>
      <name val="Microsoft YaHei"/>
      <charset val="134"/>
      <b val="1"/>
      <color rgb="FF0F172A"/>
      <sz val="9"/>
    </font>
    <font>
      <name val="Microsoft YaHei"/>
      <charset val="134"/>
      <b val="1"/>
      <color rgb="FF2563EB"/>
      <sz val="8.5"/>
    </font>
    <font>
      <name val="Microsoft YaHei"/>
      <charset val="134"/>
      <color rgb="FF0F172A"/>
      <sz val="8.5"/>
    </font>
    <font>
      <name val="Microsoft YaHei"/>
      <charset val="134"/>
      <color rgb="FF475569"/>
      <sz val="8.199999999999999"/>
    </font>
    <font>
      <name val="Microsoft YaHei"/>
      <charset val="134"/>
      <b val="1"/>
      <color rgb="FFC2410C"/>
      <sz val="8.5"/>
    </font>
    <font>
      <name val="Microsoft YaHei"/>
      <charset val="134"/>
      <b val="1"/>
      <color rgb="FF047857"/>
      <sz val="8.5"/>
    </font>
    <font>
      <name val="Microsoft YaHei"/>
      <charset val="134"/>
      <b val="1"/>
      <color rgb="FF7C3AED"/>
      <sz val="8.5"/>
    </font>
    <font>
      <name val="Microsoft YaHei"/>
      <charset val="134"/>
      <b val="1"/>
      <color rgb="FFB45309"/>
      <sz val="8.5"/>
    </font>
    <font>
      <name val="Microsoft YaHei"/>
      <charset val="134"/>
      <b val="1"/>
      <color rgb="FF059669"/>
      <sz val="8.5"/>
    </font>
    <font>
      <name val="Microsoft YaHei"/>
      <charset val="134"/>
      <b val="1"/>
      <color rgb="FF0284C7"/>
      <sz val="8.5"/>
    </font>
    <font>
      <name val="Microsoft YaHei"/>
      <charset val="134"/>
      <b val="1"/>
      <color rgb="FFD97706"/>
      <sz val="8.5"/>
    </font>
    <font>
      <name val="Microsoft YaHei"/>
      <charset val="134"/>
      <b val="1"/>
      <color rgb="FFDC2626"/>
      <sz val="8.5"/>
    </font>
    <font>
      <name val="Microsoft YaHei"/>
      <charset val="134"/>
      <color rgb="FF0F172A"/>
      <sz val="9"/>
    </font>
    <font>
      <name val="Microsoft YaHei"/>
      <charset val="134"/>
      <b val="1"/>
      <color rgb="FF64748B"/>
      <sz val="10"/>
    </font>
    <font>
      <name val="Microsoft YaHei"/>
      <charset val="134"/>
      <color rgb="FF475569"/>
      <sz val="9"/>
    </font>
    <font>
      <name val="Microsoft YaHei"/>
      <charset val="134"/>
      <b val="1"/>
      <color rgb="FF0F172A"/>
      <sz val="9.199999999999999"/>
    </font>
    <font>
      <name val="Microsoft YaHei"/>
      <charset val="134"/>
      <color rgb="FF475569"/>
      <sz val="8.5"/>
    </font>
    <font>
      <name val="Microsoft YaHei"/>
      <charset val="134"/>
      <b val="1"/>
      <color rgb="FF059669"/>
      <sz val="10"/>
    </font>
    <font>
      <name val="Microsoft YaHei"/>
      <charset val="134"/>
      <b val="1"/>
      <color rgb="FF0284C7"/>
      <sz val="10"/>
    </font>
    <font>
      <name val="Microsoft YaHei"/>
      <charset val="134"/>
      <b val="1"/>
      <color rgb="FFD97706"/>
      <sz val="10"/>
    </font>
    <font>
      <name val="Microsoft YaHei"/>
      <charset val="134"/>
      <b val="1"/>
      <color rgb="FFDC2626"/>
      <sz val="10"/>
    </font>
    <font>
      <name val="Microsoft YaHei"/>
      <charset val="134"/>
      <b val="1"/>
      <color rgb="FF7C3AED"/>
      <sz val="10"/>
    </font>
    <font>
      <name val="Microsoft YaHei"/>
      <charset val="134"/>
      <b val="1"/>
      <color rgb="FF0F172A"/>
      <sz val="14"/>
    </font>
    <font>
      <name val="Microsoft YaHei"/>
      <charset val="134"/>
      <color rgb="FFB45309"/>
      <sz val="9"/>
    </font>
    <font>
      <name val="宋体"/>
      <charset val="134"/>
      <color theme="0"/>
      <sz val="11"/>
      <scheme val="minor"/>
    </font>
    <font>
      <name val="Microsoft YaHei"/>
      <charset val="134"/>
      <b val="1"/>
      <color rgb="FF2563EB"/>
      <sz val="11"/>
    </font>
    <font>
      <name val="Microsoft YaHei"/>
      <charset val="134"/>
      <b val="1"/>
      <color rgb="FFC2410C"/>
      <sz val="11"/>
    </font>
    <font>
      <name val="Microsoft YaHei"/>
      <charset val="134"/>
      <b val="1"/>
      <color rgb="FF047857"/>
      <sz val="11"/>
    </font>
    <font>
      <name val="Microsoft YaHei"/>
      <charset val="134"/>
      <b val="1"/>
      <color rgb="FF7C3AED"/>
      <sz val="11"/>
    </font>
    <font>
      <name val="Microsoft YaHei"/>
      <charset val="134"/>
      <b val="1"/>
      <color rgb="FFB45309"/>
      <sz val="11"/>
    </font>
    <font>
      <name val="Microsoft YaHei"/>
      <charset val="134"/>
      <b val="1"/>
      <color rgb="FF1E3A8A"/>
      <sz val="9.199999999999999"/>
    </font>
    <font>
      <name val="Microsoft YaHei"/>
      <charset val="134"/>
      <b val="1"/>
      <sz val="9.19999999999999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0F172A"/>
      <sz val="13"/>
    </font>
    <font>
      <name val="Microsoft YaHei"/>
      <color rgb="00B45309"/>
      <sz val="9"/>
    </font>
    <font>
      <name val="Microsoft YaHei"/>
      <b val="1"/>
      <color rgb="00FFFFFF"/>
      <sz val="9.5"/>
    </font>
    <font>
      <name val="Microsoft YaHei"/>
      <b val="1"/>
      <color rgb="0064748b"/>
      <sz val="10"/>
    </font>
    <font>
      <name val="Microsoft YaHei"/>
      <color rgb="00475569"/>
      <sz val="9"/>
    </font>
    <font>
      <name val="Microsoft YaHei"/>
      <b val="1"/>
      <color rgb="000F172A"/>
      <sz val="9.199999999999999"/>
    </font>
    <font>
      <name val="Microsoft YaHei"/>
      <color rgb="00475569"/>
      <sz val="8.5"/>
    </font>
    <font>
      <name val="Microsoft YaHei"/>
      <color rgb="00B45309"/>
      <sz val="8.5"/>
    </font>
    <font>
      <name val="Microsoft YaHei"/>
      <color rgb="00DC2626"/>
      <sz val="8.5"/>
    </font>
    <font>
      <name val="Microsoft YaHei"/>
      <b val="1"/>
      <color rgb="00059669"/>
      <sz val="10"/>
    </font>
    <font>
      <name val="Microsoft YaHei"/>
      <b val="1"/>
      <color rgb="000284c7"/>
      <sz val="10"/>
    </font>
    <font>
      <name val="Microsoft YaHei"/>
      <b val="1"/>
      <color rgb="00d97706"/>
      <sz val="10"/>
    </font>
    <font>
      <name val="Microsoft YaHei"/>
      <b val="1"/>
      <color rgb="00dc2626"/>
      <sz val="10"/>
    </font>
    <font>
      <name val="Microsoft YaHei"/>
      <b val="1"/>
      <color rgb="007c3aed"/>
      <sz val="10"/>
    </font>
    <font>
      <name val="Microsoft YaHei"/>
      <b val="1"/>
      <color rgb="0064748b"/>
      <sz val="8.5"/>
    </font>
    <font>
      <name val="Microsoft YaHei"/>
      <b val="1"/>
      <color rgb="000F172A"/>
      <sz val="9"/>
    </font>
    <font>
      <name val="Microsoft YaHei"/>
      <b val="1"/>
      <color rgb="002563eb"/>
      <sz val="8.5"/>
    </font>
    <font>
      <name val="Microsoft YaHei"/>
      <color rgb="00475569"/>
      <sz val="8.199999999999999"/>
    </font>
    <font>
      <name val="Microsoft YaHei"/>
      <color rgb="00B45309"/>
      <sz val="8"/>
    </font>
    <font>
      <name val="Microsoft YaHei"/>
      <color rgb="000F172A"/>
      <sz val="8.5"/>
    </font>
    <font>
      <name val="Microsoft YaHei"/>
      <b val="1"/>
      <color rgb="00c2410c"/>
      <sz val="8.5"/>
    </font>
    <font>
      <name val="Microsoft YaHei"/>
      <b val="1"/>
      <color rgb="00047857"/>
      <sz val="8.5"/>
    </font>
    <font>
      <name val="Microsoft YaHei"/>
      <b val="1"/>
      <color rgb="007c3aed"/>
      <sz val="8.5"/>
    </font>
    <font>
      <name val="Microsoft YaHei"/>
      <b val="1"/>
      <color rgb="00b45309"/>
      <sz val="8.5"/>
    </font>
    <font>
      <name val="Microsoft YaHei"/>
      <b val="1"/>
      <color rgb="00059669"/>
      <sz val="8.5"/>
    </font>
    <font>
      <name val="Microsoft YaHei"/>
      <b val="1"/>
      <color rgb="000284c7"/>
      <sz val="8.5"/>
    </font>
    <font>
      <name val="Microsoft YaHei"/>
      <b val="1"/>
      <color rgb="00d97706"/>
      <sz val="8.5"/>
    </font>
    <font>
      <name val="Microsoft YaHei"/>
      <b val="1"/>
      <color rgb="00dc2626"/>
      <sz val="8.5"/>
    </font>
    <font>
      <name val="Microsoft YaHei"/>
      <b val="1"/>
      <color rgb="001d4ed8"/>
      <sz val="8.800000000000001"/>
    </font>
    <font>
      <name val="Microsoft YaHei"/>
      <b val="1"/>
      <color rgb="0064748b"/>
      <sz val="9.199999999999999"/>
    </font>
    <font>
      <name val="Microsoft YaHei"/>
      <color rgb="001E3A8A"/>
      <sz val="8.300000000000001"/>
    </font>
    <font>
      <name val="Microsoft YaHei"/>
      <color rgb="00DC2626"/>
      <sz val="8"/>
    </font>
    <font>
      <name val="Microsoft YaHei"/>
      <b val="1"/>
      <color rgb="00059669"/>
      <sz val="9.199999999999999"/>
    </font>
    <font>
      <name val="Microsoft YaHei"/>
      <b val="1"/>
      <color rgb="000284c7"/>
      <sz val="9.199999999999999"/>
    </font>
    <font>
      <name val="Microsoft YaHei"/>
      <b val="1"/>
      <color rgb="00d97706"/>
      <sz val="9.199999999999999"/>
    </font>
    <font>
      <name val="Microsoft YaHei"/>
      <b val="1"/>
      <color rgb="00dc2626"/>
      <sz val="9.199999999999999"/>
    </font>
    <font>
      <name val="Microsoft YaHei"/>
      <b val="1"/>
      <color rgb="007c3aed"/>
      <sz val="9.199999999999999"/>
    </font>
    <font>
      <name val="Microsoft YaHei"/>
      <b val="1"/>
      <color rgb="007c3aed"/>
      <sz val="8.800000000000001"/>
    </font>
    <font>
      <name val="Microsoft YaHei"/>
      <color rgb="0064748B"/>
      <sz val="9"/>
    </font>
    <font>
      <name val="Microsoft YaHei"/>
      <color rgb="001E3A8A"/>
      <sz val="8.199999999999999"/>
    </font>
    <font>
      <name val="Microsoft YaHei"/>
      <color rgb="000F172A"/>
      <sz val="9"/>
    </font>
    <font>
      <name val="Microsoft YaHei"/>
      <b val="1"/>
      <color rgb="001d4ed8"/>
      <sz val="9"/>
    </font>
  </fonts>
  <fills count="5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9E8F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ECFDF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D9E8FC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3E8FF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3" applyAlignment="1">
      <alignment vertical="center"/>
    </xf>
    <xf numFmtId="0" fontId="43" fillId="0" borderId="3" applyAlignment="1">
      <alignment vertical="center"/>
    </xf>
    <xf numFmtId="0" fontId="44" fillId="0" borderId="4" applyAlignment="1">
      <alignment vertical="center"/>
    </xf>
    <xf numFmtId="0" fontId="44" fillId="0" borderId="0" applyAlignment="1">
      <alignment vertical="center"/>
    </xf>
    <xf numFmtId="0" fontId="45" fillId="15" borderId="5" applyAlignment="1">
      <alignment vertical="center"/>
    </xf>
    <xf numFmtId="0" fontId="46" fillId="16" borderId="6" applyAlignment="1">
      <alignment vertical="center"/>
    </xf>
    <xf numFmtId="0" fontId="47" fillId="16" borderId="5" applyAlignment="1">
      <alignment vertical="center"/>
    </xf>
    <xf numFmtId="0" fontId="48" fillId="17" borderId="7" applyAlignment="1">
      <alignment vertical="center"/>
    </xf>
    <xf numFmtId="0" fontId="49" fillId="0" borderId="8" applyAlignment="1">
      <alignment vertical="center"/>
    </xf>
    <xf numFmtId="0" fontId="50" fillId="0" borderId="9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1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1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4" fontId="2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center" vertical="center" wrapText="1"/>
    </xf>
    <xf numFmtId="0" fontId="35" fillId="13" borderId="1" applyAlignment="1" pivotButton="0" quotePrefix="0" xfId="0">
      <alignment horizontal="center" vertical="center" wrapText="1"/>
    </xf>
    <xf numFmtId="0" fontId="35" fillId="13" borderId="1" applyAlignment="1" pivotButton="0" quotePrefix="0" xfId="0">
      <alignment horizontal="left" vertical="center" wrapText="1"/>
    </xf>
    <xf numFmtId="0" fontId="36" fillId="13" borderId="1" applyAlignment="1" pivotButton="0" quotePrefix="0" xfId="0">
      <alignment horizontal="left" vertical="center" wrapText="1"/>
    </xf>
    <xf numFmtId="164" fontId="20" fillId="13" borderId="1" applyAlignment="1" pivotButton="0" quotePrefix="0" xfId="0">
      <alignment horizontal="center" vertical="center" wrapText="1"/>
    </xf>
    <xf numFmtId="164" fontId="20" fillId="0" borderId="1" applyAlignment="1" pivotButton="0" quotePrefix="0" xfId="0">
      <alignment horizontal="center" vertical="center" wrapText="1"/>
    </xf>
    <xf numFmtId="164" fontId="20" fillId="13" borderId="1" applyAlignment="1" pivotButton="0" quotePrefix="0" xfId="0">
      <alignment horizontal="center" vertical="center" wrapText="1"/>
    </xf>
    <xf numFmtId="0" fontId="56" fillId="0" borderId="10" pivotButton="0" quotePrefix="0" xfId="0"/>
    <xf numFmtId="0" fontId="0" fillId="0" borderId="10" pivotButton="0" quotePrefix="0" xfId="0"/>
    <xf numFmtId="0" fontId="57" fillId="0" borderId="10" pivotButton="0" quotePrefix="0" xfId="0"/>
    <xf numFmtId="0" fontId="3" fillId="0" borderId="10" applyAlignment="1" pivotButton="0" quotePrefix="0" xfId="0">
      <alignment horizontal="center" vertical="center" wrapText="1"/>
    </xf>
    <xf numFmtId="0" fontId="58" fillId="45" borderId="11" applyAlignment="1" pivotButton="0" quotePrefix="0" xfId="0">
      <alignment horizontal="center" vertical="center" wrapText="1"/>
    </xf>
    <xf numFmtId="0" fontId="59" fillId="46" borderId="11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61" fillId="0" borderId="11" applyAlignment="1" pivotButton="0" quotePrefix="0" xfId="0">
      <alignment horizontal="center" vertical="center" wrapText="1"/>
    </xf>
    <xf numFmtId="0" fontId="62" fillId="0" borderId="11" applyAlignment="1" pivotButton="0" quotePrefix="0" xfId="0">
      <alignment horizontal="left" vertical="center" wrapText="1"/>
    </xf>
    <xf numFmtId="0" fontId="63" fillId="0" borderId="11" applyAlignment="1" pivotButton="0" quotePrefix="0" xfId="0">
      <alignment horizontal="left" vertical="center" wrapText="1"/>
    </xf>
    <xf numFmtId="0" fontId="64" fillId="0" borderId="11" applyAlignment="1" pivotButton="0" quotePrefix="0" xfId="0">
      <alignment horizontal="left" vertical="center" wrapText="1"/>
    </xf>
    <xf numFmtId="0" fontId="65" fillId="47" borderId="11" applyAlignment="1" pivotButton="0" quotePrefix="0" xfId="0">
      <alignment horizontal="center" vertical="center" wrapText="1"/>
    </xf>
    <xf numFmtId="0" fontId="66" fillId="48" borderId="11" applyAlignment="1" pivotButton="0" quotePrefix="0" xfId="0">
      <alignment horizontal="center" vertical="center" wrapText="1"/>
    </xf>
    <xf numFmtId="0" fontId="67" fillId="49" borderId="11" applyAlignment="1" pivotButton="0" quotePrefix="0" xfId="0">
      <alignment horizontal="center" vertical="center" wrapText="1"/>
    </xf>
    <xf numFmtId="0" fontId="68" fillId="50" borderId="11" applyAlignment="1" pivotButton="0" quotePrefix="0" xfId="0">
      <alignment horizontal="center" vertical="center" wrapText="1"/>
    </xf>
    <xf numFmtId="0" fontId="69" fillId="51" borderId="11" applyAlignment="1" pivotButton="0" quotePrefix="0" xfId="0">
      <alignment horizontal="center" vertical="center" wrapText="1"/>
    </xf>
    <xf numFmtId="0" fontId="2" fillId="0" borderId="10" pivotButton="0" quotePrefix="0" xfId="0"/>
    <xf numFmtId="0" fontId="70" fillId="46" borderId="11" applyAlignment="1" pivotButton="0" quotePrefix="0" xfId="0">
      <alignment horizontal="center" vertical="center" wrapText="1"/>
    </xf>
    <xf numFmtId="0" fontId="71" fillId="0" borderId="11" applyAlignment="1" pivotButton="0" quotePrefix="0" xfId="0">
      <alignment horizontal="center" vertical="center" wrapText="1"/>
    </xf>
    <xf numFmtId="0" fontId="72" fillId="52" borderId="11" applyAlignment="1" pivotButton="0" quotePrefix="0" xfId="0">
      <alignment horizontal="center" vertical="center" wrapText="1"/>
    </xf>
    <xf numFmtId="0" fontId="75" fillId="0" borderId="11" applyAlignment="1" pivotButton="0" quotePrefix="0" xfId="0">
      <alignment horizontal="left" vertical="center" wrapText="1"/>
    </xf>
    <xf numFmtId="0" fontId="73" fillId="0" borderId="11" applyAlignment="1" pivotButton="0" quotePrefix="0" xfId="0">
      <alignment horizontal="left" vertical="center" wrapText="1"/>
    </xf>
    <xf numFmtId="0" fontId="74" fillId="0" borderId="11" applyAlignment="1" pivotButton="0" quotePrefix="0" xfId="0">
      <alignment horizontal="left" vertical="center" wrapText="1"/>
    </xf>
    <xf numFmtId="0" fontId="75" fillId="0" borderId="11" applyAlignment="1" pivotButton="0" quotePrefix="0" xfId="0">
      <alignment horizontal="center" vertical="center" wrapText="1"/>
    </xf>
    <xf numFmtId="0" fontId="75" fillId="52" borderId="11" applyAlignment="1" pivotButton="0" quotePrefix="0" xfId="0">
      <alignment horizontal="center" vertical="center" wrapText="1"/>
    </xf>
    <xf numFmtId="0" fontId="76" fillId="53" borderId="11" applyAlignment="1" pivotButton="0" quotePrefix="0" xfId="0">
      <alignment horizontal="center" vertical="center" wrapText="1"/>
    </xf>
    <xf numFmtId="0" fontId="75" fillId="53" borderId="11" applyAlignment="1" pivotButton="0" quotePrefix="0" xfId="0">
      <alignment horizontal="center" vertical="center" wrapText="1"/>
    </xf>
    <xf numFmtId="0" fontId="77" fillId="54" borderId="11" applyAlignment="1" pivotButton="0" quotePrefix="0" xfId="0">
      <alignment horizontal="center" vertical="center" wrapText="1"/>
    </xf>
    <xf numFmtId="0" fontId="75" fillId="54" borderId="11" applyAlignment="1" pivotButton="0" quotePrefix="0" xfId="0">
      <alignment horizontal="center" vertical="center" wrapText="1"/>
    </xf>
    <xf numFmtId="0" fontId="78" fillId="55" borderId="11" applyAlignment="1" pivotButton="0" quotePrefix="0" xfId="0">
      <alignment horizontal="center" vertical="center" wrapText="1"/>
    </xf>
    <xf numFmtId="0" fontId="75" fillId="55" borderId="11" applyAlignment="1" pivotButton="0" quotePrefix="0" xfId="0">
      <alignment horizontal="center" vertical="center" wrapText="1"/>
    </xf>
    <xf numFmtId="0" fontId="79" fillId="49" borderId="11" applyAlignment="1" pivotButton="0" quotePrefix="0" xfId="0">
      <alignment horizontal="center" vertical="center" wrapText="1"/>
    </xf>
    <xf numFmtId="0" fontId="75" fillId="49" borderId="11" applyAlignment="1" pivotButton="0" quotePrefix="0" xfId="0">
      <alignment horizontal="center" vertical="center" wrapText="1"/>
    </xf>
    <xf numFmtId="0" fontId="80" fillId="47" borderId="11" applyAlignment="1" pivotButton="0" quotePrefix="0" xfId="0">
      <alignment horizontal="center" vertical="center" wrapText="1"/>
    </xf>
    <xf numFmtId="0" fontId="81" fillId="48" borderId="11" applyAlignment="1" pivotButton="0" quotePrefix="0" xfId="0">
      <alignment horizontal="center" vertical="center" wrapText="1"/>
    </xf>
    <xf numFmtId="0" fontId="82" fillId="49" borderId="11" applyAlignment="1" pivotButton="0" quotePrefix="0" xfId="0">
      <alignment horizontal="center" vertical="center" wrapText="1"/>
    </xf>
    <xf numFmtId="0" fontId="83" fillId="50" borderId="11" applyAlignment="1" pivotButton="0" quotePrefix="0" xfId="0">
      <alignment horizontal="center" vertical="center" wrapText="1"/>
    </xf>
    <xf numFmtId="0" fontId="78" fillId="51" borderId="1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left" vertical="center" wrapText="1"/>
    </xf>
    <xf numFmtId="0" fontId="57" fillId="0" borderId="10" applyAlignment="1" pivotButton="0" quotePrefix="0" xfId="0">
      <alignment vertical="top" wrapText="1"/>
    </xf>
    <xf numFmtId="0" fontId="84" fillId="52" borderId="11" applyAlignment="1" pivotButton="0" quotePrefix="0" xfId="0">
      <alignment horizontal="center" vertical="center" wrapText="1"/>
    </xf>
    <xf numFmtId="0" fontId="85" fillId="46" borderId="11" applyAlignment="1" pivotButton="0" quotePrefix="0" xfId="0">
      <alignment horizontal="center" vertical="center" wrapText="1"/>
    </xf>
    <xf numFmtId="0" fontId="86" fillId="0" borderId="11" applyAlignment="1" pivotButton="0" quotePrefix="0" xfId="0">
      <alignment horizontal="left" vertical="center" wrapText="1"/>
    </xf>
    <xf numFmtId="0" fontId="87" fillId="0" borderId="11" applyAlignment="1" pivotButton="0" quotePrefix="0" xfId="0">
      <alignment horizontal="left" vertical="center" wrapText="1"/>
    </xf>
    <xf numFmtId="0" fontId="88" fillId="47" borderId="11" applyAlignment="1" pivotButton="0" quotePrefix="0" xfId="0">
      <alignment horizontal="center" vertical="center" wrapText="1"/>
    </xf>
    <xf numFmtId="0" fontId="89" fillId="48" borderId="11" applyAlignment="1" pivotButton="0" quotePrefix="0" xfId="0">
      <alignment horizontal="center" vertical="center" wrapText="1"/>
    </xf>
    <xf numFmtId="0" fontId="90" fillId="49" borderId="11" applyAlignment="1" pivotButton="0" quotePrefix="0" xfId="0">
      <alignment horizontal="center" vertical="center" wrapText="1"/>
    </xf>
    <xf numFmtId="0" fontId="91" fillId="50" borderId="11" applyAlignment="1" pivotButton="0" quotePrefix="0" xfId="0">
      <alignment horizontal="center" vertical="center" wrapText="1"/>
    </xf>
    <xf numFmtId="0" fontId="92" fillId="51" borderId="11" applyAlignment="1" pivotButton="0" quotePrefix="0" xfId="0">
      <alignment horizontal="center" vertical="center" wrapText="1"/>
    </xf>
    <xf numFmtId="0" fontId="93" fillId="55" borderId="11" applyAlignment="1" pivotButton="0" quotePrefix="0" xfId="0">
      <alignment horizontal="center" vertical="center" wrapText="1"/>
    </xf>
    <xf numFmtId="0" fontId="94" fillId="0" borderId="10" applyAlignment="1" pivotButton="0" quotePrefix="0" xfId="0">
      <alignment vertical="top" wrapText="1"/>
    </xf>
    <xf numFmtId="0" fontId="97" fillId="52" borderId="11" applyAlignment="1" pivotButton="0" quotePrefix="0" xfId="0">
      <alignment horizontal="center" vertical="center" wrapText="1"/>
    </xf>
    <xf numFmtId="0" fontId="95" fillId="0" borderId="11" applyAlignment="1" pivotButton="0" quotePrefix="0" xfId="0">
      <alignment horizontal="left" vertical="center" wrapText="1"/>
    </xf>
    <xf numFmtId="0" fontId="96" fillId="0" borderId="11" applyAlignment="1" pivotButton="0" quotePrefix="0" xfId="0">
      <alignment horizontal="center" vertical="center" wrapText="1"/>
    </xf>
    <xf numFmtId="0" fontId="96" fillId="52" borderId="11" applyAlignment="1" pivotButton="0" quotePrefix="0" xfId="0">
      <alignment horizontal="center" vertical="center" wrapText="1"/>
    </xf>
    <xf numFmtId="0" fontId="96" fillId="53" borderId="11" applyAlignment="1" pivotButton="0" quotePrefix="0" xfId="0">
      <alignment horizontal="center" vertical="center" wrapText="1"/>
    </xf>
    <xf numFmtId="0" fontId="96" fillId="54" borderId="11" applyAlignment="1" pivotButton="0" quotePrefix="0" xfId="0">
      <alignment horizontal="center" vertical="center" wrapText="1"/>
    </xf>
    <xf numFmtId="0" fontId="96" fillId="55" borderId="11" applyAlignment="1" pivotButton="0" quotePrefix="0" xfId="0">
      <alignment horizontal="center" vertical="center" wrapText="1"/>
    </xf>
    <xf numFmtId="0" fontId="96" fillId="49" borderId="1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G13" sqref="G13"/>
    </sheetView>
  </sheetViews>
  <sheetFormatPr baseColWidth="8" defaultColWidth="9" defaultRowHeight="16.8"/>
  <cols>
    <col width="8" customWidth="1" min="1" max="1"/>
    <col width="22" customWidth="1" min="2" max="2"/>
    <col width="48" customWidth="1" min="3" max="3"/>
    <col width="28" customWidth="1" min="4" max="4"/>
    <col width="10" customWidth="1" min="5" max="5"/>
    <col width="11" customWidth="1" min="6" max="6"/>
    <col width="20.1923076923077" customWidth="1" min="7" max="7"/>
    <col width="28" customWidth="1" min="8" max="8"/>
    <col width="21.4711538461538" customWidth="1" min="9" max="9"/>
  </cols>
  <sheetData>
    <row r="1" ht="19.2" customHeight="1">
      <c r="A1" s="39" t="inlineStr">
        <is>
          <t>项目执行计划 （Agile）</t>
        </is>
      </c>
    </row>
    <row r="2">
      <c r="A2" s="40" t="n"/>
      <c r="J2" s="41" t="n">
        <v>3300</v>
      </c>
    </row>
    <row r="4" ht="28" customHeight="1">
      <c r="A4" s="3" t="inlineStr">
        <is>
          <t>角色</t>
        </is>
      </c>
      <c r="B4" s="3" t="inlineStr">
        <is>
          <t>角色名称</t>
        </is>
      </c>
      <c r="C4" s="3" t="inlineStr">
        <is>
          <t>核心职责</t>
        </is>
      </c>
      <c r="D4" s="3" t="inlineStr">
        <is>
          <t>技能要求</t>
        </is>
      </c>
      <c r="E4" s="3" t="inlineStr">
        <is>
          <t>工作量占比</t>
        </is>
      </c>
      <c r="F4" s="3" t="inlineStr">
        <is>
          <t>人天（12 周）</t>
        </is>
      </c>
      <c r="G4" s="3" t="inlineStr">
        <is>
          <t>人力费用（¥4500/人天）</t>
        </is>
      </c>
      <c r="H4" s="3" t="inlineStr">
        <is>
          <t>关键产出物</t>
        </is>
      </c>
      <c r="I4" s="3" t="inlineStr">
        <is>
          <t>备注</t>
        </is>
      </c>
    </row>
    <row r="5" ht="62" customHeight="1">
      <c r="A5" s="42" t="inlineStr">
        <is>
          <t>A</t>
        </is>
      </c>
      <c r="B5" s="32" t="inlineStr">
        <is>
          <t>需求分析师（专职，50% 投入）</t>
        </is>
      </c>
      <c r="C5" s="43" t="inlineStr">
        <is>
          <t>① 需求访谈与引导（业务方/源方/合规）② BRD：数据流图（源系统→湖仓→查询/销毁）+ 归档范围与保留期矩阵 + 非功能需求（RPO/性能/安全）③ 用户故事与验收标准 ④ UAT 场景设计与组织 ⑤ 需求变更管理与优先级 ⑥ 业务方/源方/法务协调</t>
        </is>
      </c>
      <c r="D5" s="33" t="inlineStr">
        <is>
          <t>需求分析 / 业务流程建模 / 用户故事</t>
        </is>
      </c>
      <c r="E5" s="44">
        <f>F5/F10</f>
        <v/>
      </c>
      <c r="F5" s="45" t="n">
        <v>30</v>
      </c>
      <c r="G5" s="56">
        <f>F5*J2</f>
        <v/>
      </c>
      <c r="H5" s="8" t="inlineStr">
        <is>
          <t>BRD、用户故事地图、验收标准、UAT 场景脚本、需求变更记录</t>
        </is>
      </c>
      <c r="I5" s="47" t="inlineStr">
        <is>
          <t>W1~W2 密集；之后 Sprint 级澄清与验收</t>
        </is>
      </c>
    </row>
    <row r="6" ht="62" customHeight="1">
      <c r="A6" s="48" t="inlineStr">
        <is>
          <t>B</t>
        </is>
      </c>
      <c r="B6" s="32" t="inlineStr">
        <is>
          <t>架构师（兼职功能开发）</t>
        </is>
      </c>
      <c r="C6" s="43" t="inlineStr">
        <is>
          <t>① 架构定稿（W1~W2）：湖仓分层架构与数据流设计 + 资源申请单对接平台团队 + 交付资源验收 ② 专项一·权限与安全：UC 三级授权模型（Catalog/Schema/Table GRANT 继承）、Entra ID 组↔UC 组映射、服务主体（SP-query/SP-audit）+ 行级隔离、aes_encrypt + COLUMN MASK 动态脱敏函数、ABAC PII 标签策略 ③ 专项二·冷热数据管理：ADLS Hot/Cool/Cold 分层与生命周期规则（Auto-Tiering）、Iceberg 分区与排序策略（Partition Evolution / Z-Order / hidden partitioning）、SERVE 物化视图与增量物化、Compaction 与快照过期（OPTIMIZE / expire_snapshots / VACUUM）④ 前端功能开发：附件预览、多表 JOIN、Retention 界面 ⑤ 代码评审与技术决策（ADR）</t>
        </is>
      </c>
      <c r="D6" s="33" t="inlineStr">
        <is>
          <t>Databricks / Azure 网络 / .NET 或 React / 系统设计</t>
        </is>
      </c>
      <c r="E6" s="44">
        <f>F6/F10</f>
        <v/>
      </c>
      <c r="F6" s="45" t="n">
        <v>60</v>
      </c>
      <c r="G6" s="56">
        <f>F6*J2</f>
        <v/>
      </c>
      <c r="H6" s="8" t="inlineStr">
        <is>
          <t>架构文档、Azure 部署脚本、RBAC 权限矩阵与 API、UC 授权/掩码/行级隔离、冷热分层与生命周期策略、SERVE 物化与 Compaction、附件预览/JOIN 渲染/Retention 界面</t>
        </is>
      </c>
      <c r="I6" s="47" t="inlineStr">
        <is>
          <t>W1~W3 架构为主；W4 起开发为主</t>
        </is>
      </c>
    </row>
    <row r="7" ht="62" customHeight="1">
      <c r="A7" s="49" t="inlineStr">
        <is>
          <t>C</t>
        </is>
      </c>
      <c r="B7" s="32" t="inlineStr">
        <is>
          <t>数据工程师（ETL / 湖仓开发）</t>
        </is>
      </c>
      <c r="C7" s="43" t="inlineStr">
        <is>
          <t>① SeaTunnel 同步链路：源库 JDBC 批量抽取（分片并行/限速/断点续传）+ 配置生成器（元数据驱动 .conf 生成）② Iceberg 湖仓建模：RAW→CURATED→LAKE→SERVE 四层转换 SQL（Spark）、分区设计与 Parquet 压缩（ZSTD）、Schema Evolution 与类型映射 ③ Databricks Jobs 编排：多 Task 依赖 DAG（ETL/OPTIMIZE/VACUUM/销毁）、失败重试与告警 ④ 数据对账：行数/校验和双向比对 + SHA-256 台账 ⑤ 凭据治理：连接串全走 Key Vault 引用（零硬编码/零明文日志）⑥ 性能调优：文件大小（target-file-size）、小文件合并、分区裁剪、查询计划分析</t>
        </is>
      </c>
      <c r="D7" s="33" t="inlineStr">
        <is>
          <t>Python / Spark SQL / SeaTunnel / Iceberg / Databricks SDK</t>
        </is>
      </c>
      <c r="E7" s="44">
        <f>F7/F10</f>
        <v/>
      </c>
      <c r="F7" s="45" t="n">
        <v>37</v>
      </c>
      <c r="G7" s="56">
        <f>F7*J2</f>
        <v/>
      </c>
      <c r="H7" s="8" t="inlineStr">
        <is>
          <t>ETL 生成器、四层 SQL、销毁作业、对账脚本、性能报告</t>
        </is>
      </c>
      <c r="I7" s="47" t="inlineStr">
        <is>
          <t>核心开发，代码量最大</t>
        </is>
      </c>
    </row>
    <row r="8" ht="62" customHeight="1">
      <c r="A8" s="50" t="inlineStr">
        <is>
          <t>D</t>
        </is>
      </c>
      <c r="B8" s="32" t="inlineStr">
        <is>
          <t>全栈开发 + DevOps</t>
        </is>
      </c>
      <c r="C8" s="43" t="inlineStr">
        <is>
          <t>① .NET 10 后端：元数据服务 + 查询代理（SQL 拼装与白名单校验）+ 附件服务（SAS 签发）+ 调度服务 ② React 前端：配置化查询平台（JSON Schema 动态渲染）③ CI/CD：Azure DevOps Pipelines → ACR → Helm 部署到平台提供的 AKS 命名空间（多环境 values）④ 代码安全四道门禁：SAST（CodeQL/Semgrep）、依赖漏洞扫描（Dependabot/audit）、密钥泄漏扫描（gitleaks）、镜像 CVE 扫描（Trivy）—— CI 强制卡点 + 高中危清零 ⑤ SSO 集成（Entra ID OIDC + JWT 角色 Claims）</t>
        </is>
      </c>
      <c r="D8" s="33" t="inlineStr">
        <is>
          <t>.NET 10 / React / Docker / Helm / Azure DevOps Pipelines / AKS / OIDC</t>
        </is>
      </c>
      <c r="E8" s="44">
        <f>F8/F10</f>
        <v/>
      </c>
      <c r="F8" s="45" t="n">
        <v>60</v>
      </c>
      <c r="G8" s="56">
        <f>F8*J2</f>
        <v/>
      </c>
      <c r="H8" s="8" t="inlineStr">
        <is>
          <t>后端 API、React 前端、CI/CD、SSO 集成</t>
        </is>
      </c>
      <c r="I8" s="47" t="inlineStr">
        <is>
          <t>W4 后 B 加入分担，压力缓解</t>
        </is>
      </c>
    </row>
    <row r="9" ht="62" customHeight="1">
      <c r="A9" s="51" t="inlineStr">
        <is>
          <t>E</t>
        </is>
      </c>
      <c r="B9" s="32" t="inlineStr">
        <is>
          <t>QA 测试 + SLC 全生命周期文档</t>
        </is>
      </c>
      <c r="C9" s="43" t="inlineStr">
        <is>
          <t>① 测试策略与计划（功能/集成/性能/安全/UAT 五类）② 测试执行：功能与回归、数据一致性对账验证、性能基准（首屏 P95/导出吞吐）、安全测试（注入/越权/掩码旁路）+ UAT 协调 ③ 缺陷全生命周期管理 ④ SLC 文档：架构图（C4 上下文/容器/组件/部署）+ 数据流图、详细设计（应用/数据/安全三模块）、接口文档（OpenAPI）、数据字典（35 表 + 湖仓四层）、用户手册、运维手册、审批材料包 ⑤ 培训材料与交付</t>
        </is>
      </c>
      <c r="D9" s="33" t="inlineStr">
        <is>
          <t xml:space="preserve">测试设计 / 自动化 / 技术写作 </t>
        </is>
      </c>
      <c r="E9" s="44">
        <f>F9/F10</f>
        <v/>
      </c>
      <c r="F9" s="45" t="n">
        <v>40</v>
      </c>
      <c r="G9" s="56">
        <f>F9*J2</f>
        <v/>
      </c>
      <c r="H9" s="8" t="inlineStr">
        <is>
          <t>测试计划/用例(80+)/自动化/报告、架构图×4、详细设计×3、接口文档、数据字典、用户/运维手册、审批包、培训材料</t>
        </is>
      </c>
      <c r="I9" s="47" t="inlineStr">
        <is>
          <t>W4 起文档测试并重，W9~10 冲刺</t>
        </is>
      </c>
    </row>
    <row r="10" ht="24" customHeight="1">
      <c r="A10" s="52" t="inlineStr">
        <is>
          <t>合计</t>
        </is>
      </c>
      <c r="B10" s="53" t="n"/>
      <c r="C10" s="53" t="n"/>
      <c r="D10" s="53" t="n"/>
      <c r="E10" s="52" t="n"/>
      <c r="F10" s="54">
        <f>SUM(F5:F9)</f>
        <v/>
      </c>
      <c r="G10" s="57">
        <f>SUM(G5:G9)</f>
        <v/>
      </c>
      <c r="H10" s="53" t="n"/>
      <c r="I10" s="53" t="n"/>
    </row>
    <row r="12">
      <c r="A12" s="2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selection activeCell="D6" sqref="D6"/>
    </sheetView>
  </sheetViews>
  <sheetFormatPr baseColWidth="8" defaultColWidth="9" defaultRowHeight="16.8"/>
  <cols>
    <col width="15" customWidth="1" min="1" max="1"/>
    <col width="13" customWidth="1" min="2" max="2"/>
    <col width="8" customWidth="1" min="3" max="3"/>
    <col width="20" customWidth="1" min="4" max="4"/>
    <col width="62" customWidth="1" min="5" max="5"/>
    <col width="30" customWidth="1" min="6" max="6"/>
    <col width="32" customWidth="1" min="7" max="7"/>
    <col width="34" customWidth="1" min="8" max="8"/>
  </cols>
  <sheetData>
    <row r="1" ht="18.4" customHeight="1">
      <c r="A1" s="58" t="inlineStr">
        <is>
          <t>12 周 Sprint 计划总览（V9：双 Release · 上线压缩至 W11 一周 · CC 单系统验证）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</row>
    <row r="2" ht="30" customHeight="1">
      <c r="A2" s="106" t="inlineStr">
        <is>
          <t>R1 系统上线（W1~W11）：W1~W10 全部功能与上线就绪，W11 一周集中上线（发布→UAT→Go-Live）· R2 文档交付与收尾（W12）：文档终版 + 稳定确认 + 归档 → 项目结束（无知识转移/项目关闭）</t>
        </is>
      </c>
      <c r="I2" s="59" t="n"/>
    </row>
    <row r="3" ht="28" customHeight="1">
      <c r="A3" s="61" t="n"/>
      <c r="B3" s="61" t="n"/>
      <c r="C3" s="61" t="n"/>
      <c r="D3" s="61" t="n"/>
      <c r="E3" s="61" t="n"/>
      <c r="F3" s="61" t="n"/>
      <c r="G3" s="59" t="n"/>
      <c r="H3" s="59" t="n"/>
      <c r="I3" s="59" t="n"/>
    </row>
    <row r="4" ht="28" customHeight="1">
      <c r="A4" s="62" t="inlineStr">
        <is>
          <t>Release</t>
        </is>
      </c>
      <c r="B4" s="62" t="inlineStr">
        <is>
          <t>Sprint</t>
        </is>
      </c>
      <c r="C4" s="62" t="inlineStr">
        <is>
          <t>周次</t>
        </is>
      </c>
      <c r="D4" s="62" t="inlineStr">
        <is>
          <t>主题 / 目标</t>
        </is>
      </c>
      <c r="E4" s="62" t="inlineStr">
        <is>
          <t>核心交付物（按功能域编号）</t>
        </is>
      </c>
      <c r="F4" s="62" t="inlineStr">
        <is>
          <t>演示 / 里程碑</t>
        </is>
      </c>
      <c r="G4" s="62" t="inlineStr">
        <is>
          <t>主要风险</t>
        </is>
      </c>
      <c r="H4" s="62" t="inlineStr">
        <is>
          <t>需确认/决策项</t>
        </is>
      </c>
      <c r="I4" s="59" t="n"/>
    </row>
    <row r="5" ht="122" customHeight="1">
      <c r="A5" s="107" t="inlineStr">
        <is>
          <t>Release 1
系统上线</t>
        </is>
      </c>
      <c r="B5" s="108" t="inlineStr">
        <is>
          <t>Sprint 0
需求+筹备</t>
        </is>
      </c>
      <c r="C5" s="64" t="inlineStr">
        <is>
          <t>W1~W2</t>
        </is>
      </c>
      <c r="D5" s="76" t="inlineStr">
        <is>
          <t>需求定稿 + 环境就绪 + CC 连接打通</t>
        </is>
      </c>
      <c r="E5" s="79" t="inlineStr">
        <is>
          <t>【8 域需求】① A：BRD 定稿（8 域 + 数据流图 + 保留期矩阵 + PII 分级 + 检索权限矩阵）② B：架构定稿 + 资源申请单（区域=境内）+ 资源验收 + UC 初始化 ③ C：SeaTunnel PoC（CC 抽样 10 表端到端）+ 1253 表扫描分类 ④ D：前后端骨架 + Azure DevOps Pipelines CI + SSO 走通 ⑤ E：测试计划（8 域）+ 架构图×2 + 文档模板</t>
        </is>
      </c>
      <c r="F5" s="109" t="inlineStr">
        <is>
          <t>★ CC PoC 端到端；BRD 评审通过；登录页可访问</t>
        </is>
      </c>
      <c r="G5" s="80" t="inlineStr">
        <is>
          <t>CC 账号/白名单周期；1253 表审表量；02 域实时指标未定</t>
        </is>
      </c>
      <c r="H5" s="110" t="inlineStr">
        <is>
          <t>① CC 只读账号（W1 必须）② 垃圾表剔除标准 ③ 实时指标 ④ 境内驻留区域 ⑤ Legal Hold 条件</t>
        </is>
      </c>
      <c r="I5" s="59" t="n"/>
    </row>
    <row r="6" ht="122" customHeight="1">
      <c r="A6" s="107" t="inlineStr">
        <is>
          <t>Release 1
系统上线</t>
        </is>
      </c>
      <c r="B6" s="111" t="inlineStr">
        <is>
          <t>Sprint 1
迁移+检索 MVP</t>
        </is>
      </c>
      <c r="C6" s="64" t="inlineStr">
        <is>
          <t>W3~W4</t>
        </is>
      </c>
      <c r="D6" s="76" t="inlineStr">
        <is>
          <t>01 存量迁移 + 05 检索 端到端（CC 首批 50 表）</t>
        </is>
      </c>
      <c r="E6" s="79" t="inlineStr">
        <is>
          <t>【01】① C：批量导入 50 表（分片/限速/断点）+ 任务管理（生成器+状态+对账 SHA-256）② D：迁移任务管理界面【05】③ D：检索页（配置化渲染）+ 预览（SAS）+ 导出【08】④ B：RBAC 五角色 + Entra ID 组映射 + UC GRANT + SSO Claims【06】⑤ D：审计埋点 v1【07】⑥ C：连接器模板 v1</t>
        </is>
      </c>
      <c r="F6" s="109" t="inlineStr">
        <is>
          <t>★ CC 50 表端到端：登录→检索→预览→导出（带权限与审计）+ 对账 100%</t>
        </is>
      </c>
      <c r="G6" s="80" t="inlineStr">
        <is>
          <t>审表与联调压力；掩码函数首次落地</t>
        </is>
      </c>
      <c r="H6" s="110" t="inlineStr">
        <is>
          <t>① CC 首批表清单（W2 末）② PII 字段标记 ③ 预览格式范围</t>
        </is>
      </c>
      <c r="I6" s="59" t="n"/>
    </row>
    <row r="7" ht="122" customHeight="1">
      <c r="A7" s="107" t="inlineStr">
        <is>
          <t>Release 1
系统上线</t>
        </is>
      </c>
      <c r="B7" s="112" t="inlineStr">
        <is>
          <t>Sprint 2
治理+安全</t>
        </is>
      </c>
      <c r="C7" s="64" t="inlineStr">
        <is>
          <t>W5~W6</t>
        </is>
      </c>
      <c r="D7" s="76" t="inlineStr">
        <is>
          <t>02 数据治理 + 03 归档生命周期 + 04 安全管控</t>
        </is>
      </c>
      <c r="E7" s="79" t="inlineStr">
        <is>
          <t>【02】① C：增量接入（watermark）+ 冷数据识别自动转冷 ② D：元数据标准界面【03】③ B：处置引擎（扫描→DROP PARTITION→VACUUM）+ Legal Hold（Hold/Release+豁免+留痕）④ C：CURATED/LAKE 转换 + Schema Evolution【04】⑤ B：加密（CMK+字段级+轮转）+ 脱敏 + 境内驻留核查 ⑥ C：ADLS 分层 + 生命周期 + Compaction</t>
        </is>
      </c>
      <c r="F7" s="109" t="inlineStr">
        <is>
          <t>★ 处置全链路（到期→Hold 拦截→处置→审计）+ 脱敏三态 + 分层生效</t>
        </is>
      </c>
      <c r="G7" s="80" t="inlineStr">
        <is>
          <t>实时方案风险；处置不可逆需沙箱验证；掩码与前端联动</t>
        </is>
      </c>
      <c r="H7" s="110" t="inlineStr">
        <is>
          <t>① 实时指标验收标准 ② Legal Hold 审批人 ③ 保留期底线 ④ 性能标准（P95&lt;5s）</t>
        </is>
      </c>
      <c r="I7" s="59" t="n"/>
    </row>
    <row r="8" ht="122" customHeight="1">
      <c r="A8" s="107" t="inlineStr">
        <is>
          <t>Release 1
系统上线</t>
        </is>
      </c>
      <c r="B8" s="113" t="inlineStr">
        <is>
          <t>Sprint 3
CC 全量+连接器</t>
        </is>
      </c>
      <c r="C8" s="64" t="inlineStr">
        <is>
          <t>W7~W8</t>
        </is>
      </c>
      <c r="D8" s="76" t="inlineStr">
        <is>
          <t>CC 1253 表全量迁移 + 07 连接器库 + 06 合规报表</t>
        </is>
      </c>
      <c r="E8" s="79" t="inlineStr">
        <is>
          <t>【01+02】① C：CC 全量分批迁移（600~800 有效表）+ 增量常态化 ② A：范围最终确认【07】③ C：模板库（MySQL+文件源）+ 运行监控审计 ④ D：连接管理界面【06】⑤ D：合规报表（等保/个保法对照）⑥ E：合规口径验证【08】⑦ B：行级隔离验证</t>
        </is>
      </c>
      <c r="F8" s="109" t="inlineStr">
        <is>
          <t>★ CC 全量对账 100% + 新数据源 30 分钟接入 + 越权全拦截</t>
        </is>
      </c>
      <c r="G8" s="80" t="inlineStr">
        <is>
          <t>全量迁移时长不可控；逐批对账耗时；报表口径偏差</t>
        </is>
      </c>
      <c r="H8" s="110" t="inlineStr">
        <is>
          <t>① CC 数据量实测 ② 迁移窗口 ③ 合规报表口径签字人</t>
        </is>
      </c>
      <c r="I8" s="59" t="n"/>
    </row>
    <row r="9" ht="122" customHeight="1">
      <c r="A9" s="107" t="inlineStr">
        <is>
          <t>Release 1
系统上线</t>
        </is>
      </c>
      <c r="B9" s="114" t="inlineStr">
        <is>
          <t>Sprint 4
功能收口+就绪</t>
        </is>
      </c>
      <c r="C9" s="64" t="inlineStr">
        <is>
          <t>W9~W10</t>
        </is>
      </c>
      <c r="D9" s="76" t="inlineStr">
        <is>
          <t>功能收口 + 上线就绪（准备全部前移，不含上线动作）</t>
        </is>
      </c>
      <c r="E9" s="79" t="inlineStr">
        <is>
          <t>【功能收口 W9】① 全员：功能打磨/性能优化/遗留 Bug 清零 + 全量回归（S1~S4 全功能）【上线就绪 W9~10】② B：🤖生产发布包（Helm 生产 values + UC 权限/掩码/生命周期/驻留 生产脚本，一键发布就绪）③ E：文档 80%（用户/运维/字典/架构图更新）+ 🤖审批材料起稿 ④ W10：UAT 预演（Staging 8 域走查，业务方提前介入）+ UAT 脚本定稿 ⑤ D：安全终检（四门禁生产版+渗透配合）+ 监控告警就绪 ⑥ C：生产迁移预跑 + 窗口预约 ⑦ W10 末：上线就绪检查（发布包/材料/预演/回退预案 全绿）</t>
        </is>
      </c>
      <c r="F9" s="109" t="inlineStr">
        <is>
          <t>★ W10 末：上线就绪检查 100% 通过（W11 上线的前置条件）</t>
        </is>
      </c>
      <c r="G9" s="80" t="inlineStr">
        <is>
          <t>就绪检查不过则 W11 顺延；UAT 预演需业务方排期；渗透测试排期</t>
        </is>
      </c>
      <c r="H9" s="110" t="inlineStr">
        <is>
          <t>① UAT 预演排期 ② 渗透窗口 ③ 生产迁移窗口（W10 晚预约）④ 就绪检查 Checklist 签字人</t>
        </is>
      </c>
      <c r="I9" s="59" t="n"/>
    </row>
    <row r="10" ht="122" customHeight="1">
      <c r="A10" s="107" t="inlineStr">
        <is>
          <t>Release 1
系统上线</t>
        </is>
      </c>
      <c r="B10" s="115" t="inlineStr">
        <is>
          <t>Sprint 5
上线+收尾</t>
        </is>
      </c>
      <c r="C10" s="64" t="inlineStr">
        <is>
          <t>W11</t>
        </is>
      </c>
      <c r="D10" s="76" t="inlineStr">
        <is>
          <t>上线周：发布 → UAT → Go-Live（集中一周，仅执行）</t>
        </is>
      </c>
      <c r="E10" s="79" t="inlineStr">
        <is>
          <t>① 生产发布执行（DevOps Environments 审批，就绪包一键发布）② CC 生产全量迁移收尾（预跑后增量补齐 + 对账）③ UAT 正式执行（8 域场景，业务方签字）④ P1 问题当日清 ⑤ 审批材料提交 ⑥ Go-Live 决策 + 上线 + 48h 值守（全员）</t>
        </is>
      </c>
      <c r="F10" s="109" t="inlineStr">
        <is>
          <t>★ W11：Go-Live + UAT 签字 + 审批受理 → Release 1 交付</t>
        </is>
      </c>
      <c r="G10" s="80" t="inlineStr">
        <is>
          <t>一周内完成发布+UAT+上线节奏紧：强依赖 W10 就绪检查通过；生产迁移建议 W10 晚启动</t>
        </is>
      </c>
      <c r="H10" s="110" t="inlineStr">
        <is>
          <t>① Go-Live 窗口（建议 W11 周二）② P1 响应 SLA ③ 审批受理时长</t>
        </is>
      </c>
      <c r="I10" s="59" t="n"/>
    </row>
    <row r="11" ht="122" customHeight="1">
      <c r="A11" s="116" t="inlineStr">
        <is>
          <t>Release 2
文档交付与收尾</t>
        </is>
      </c>
      <c r="B11" s="115" t="inlineStr">
        <is>
          <t>Sprint 5
上线+收尾</t>
        </is>
      </c>
      <c r="C11" s="64" t="inlineStr">
        <is>
          <t>W12</t>
        </is>
      </c>
      <c r="D11" s="76" t="inlineStr">
        <is>
          <t>文档终版 + 稳定确认 + 收尾（Release 2）</t>
        </is>
      </c>
      <c r="E11" s="79" t="inlineStr">
        <is>
          <t>① E：文档终审（7 套：用户/运维/架构×4/详细设计×3/接口/数据字典 + 审批包）② 全员：上线后一周稳定性观察（增量/处置/检索/审计全正常）③ 遗留问题清零 + 交付物版本 tag（代码/脚本/文档）④ E：上线验证与稳定性报告 ⑤ 项目结束（无知识转移/项目关闭环节）</t>
        </is>
      </c>
      <c r="F11" s="109" t="inlineStr">
        <is>
          <t>★ W12：稳定运行确认 + 交付物归档 → 项目结束</t>
        </is>
      </c>
      <c r="G11" s="80" t="inlineStr">
        <is>
          <t>上线首周 P1；文档确认排期；若 W11 顺延则本周压缩</t>
        </is>
      </c>
      <c r="H11" s="110" t="inlineStr">
        <is>
          <t>① 文档确认签字人 ② 上线后支持期（含在 W12 内）</t>
        </is>
      </c>
      <c r="I11" s="59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</row>
    <row r="13" ht="26" customHeight="1">
      <c r="A13" s="117" t="inlineStr">
        <is>
          <t>双 Release：R1（W1~W11）交付可上线的系统——W1~W10 功能与就绪、W11 一周集中上线；R2（W12）文档终版+稳定确认+归档即项目结束</t>
        </is>
      </c>
      <c r="I13" s="59" t="n"/>
    </row>
    <row r="14" ht="26" customHeight="1">
      <c r="A14" s="117" t="inlineStr">
        <is>
          <t>上线压缩依据：原 W9~W10 的生产部署/UAT/文档冲刺全部改为"准备"（发布包/材料/预演/预跑在 W9~10 完成），W11 仅执行，消除重叠</t>
        </is>
      </c>
      <c r="I14" s="59" t="n"/>
    </row>
    <row r="15" ht="26" customHeight="1">
      <c r="A15" s="117" t="inlineStr">
        <is>
          <t>W10 末就绪检查是 W11 上线的硬前置：发布包/审批材料/UAT 预演/回退预案全绿才上线；不过则顺延（压缩 R2）</t>
        </is>
      </c>
      <c r="I15" s="59" t="n"/>
    </row>
    <row r="16" ht="26" customHeight="1">
      <c r="A16" s="117" t="inlineStr">
        <is>
          <t>团队与口径不变：4.5 人（A 需求 50% + B/C/D/E 全职）· CC 单系统验证 · Azure DevOps CI/CD · 上线即结束</t>
        </is>
      </c>
      <c r="I16" s="59" t="n"/>
    </row>
    <row r="17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</row>
    <row r="18">
      <c r="A18" s="59" t="n"/>
      <c r="B18" s="59" t="n"/>
      <c r="C18" s="59" t="n"/>
      <c r="D18" s="59" t="n"/>
      <c r="E18" s="59" t="n"/>
      <c r="F18" s="59" t="n"/>
      <c r="G18" s="59" t="n"/>
      <c r="H18" s="59" t="n"/>
      <c r="I18" s="59" t="n"/>
    </row>
    <row r="19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</row>
    <row r="2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59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</row>
    <row r="23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</row>
    <row r="24">
      <c r="A24" s="59" t="n"/>
      <c r="B24" s="59" t="n"/>
      <c r="C24" s="59" t="n"/>
      <c r="D24" s="59" t="n"/>
      <c r="E24" s="59" t="n"/>
      <c r="F24" s="59" t="n"/>
      <c r="G24" s="59" t="n"/>
      <c r="H24" s="59" t="n"/>
      <c r="I24" s="59" t="n"/>
    </row>
    <row r="25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</row>
    <row r="26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</row>
    <row r="2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</row>
    <row r="29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</row>
    <row r="30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</row>
    <row r="31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</row>
    <row r="33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</row>
    <row r="34">
      <c r="A34" s="59" t="n"/>
      <c r="B34" s="59" t="n"/>
      <c r="C34" s="59" t="n"/>
      <c r="D34" s="59" t="n"/>
      <c r="E34" s="59" t="n"/>
      <c r="F34" s="59" t="n"/>
      <c r="G34" s="59" t="n"/>
      <c r="H34" s="59" t="n"/>
      <c r="I34" s="59" t="n"/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</row>
    <row r="36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</row>
    <row r="38">
      <c r="A38" s="59" t="n"/>
      <c r="B38" s="59" t="n"/>
      <c r="C38" s="59" t="n"/>
      <c r="D38" s="59" t="n"/>
      <c r="E38" s="59" t="n"/>
      <c r="F38" s="59" t="n"/>
      <c r="G38" s="59" t="n"/>
      <c r="H38" s="59" t="n"/>
      <c r="I38" s="59" t="n"/>
    </row>
    <row r="39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</row>
    <row r="40">
      <c r="A40" s="59" t="n"/>
      <c r="B40" s="59" t="n"/>
      <c r="C40" s="59" t="n"/>
      <c r="D40" s="59" t="n"/>
      <c r="E40" s="59" t="n"/>
      <c r="F40" s="59" t="n"/>
      <c r="G40" s="59" t="n"/>
      <c r="H40" s="59" t="n"/>
      <c r="I40" s="59" t="n"/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</row>
  </sheetData>
  <mergeCells count="5">
    <mergeCell ref="A15:H15"/>
    <mergeCell ref="A16:H16"/>
    <mergeCell ref="A2:H2"/>
    <mergeCell ref="A13:H13"/>
    <mergeCell ref="A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4"/>
  <sheetViews>
    <sheetView showGridLines="0" tabSelected="1" workbookViewId="0">
      <pane ySplit="4" topLeftCell="A5" activePane="bottomLeft" state="frozen"/>
      <selection pane="bottomLeft" activeCell="A1" sqref="A1"/>
      <selection pane="bottomLeft" activeCell="H19" sqref="H19"/>
    </sheetView>
  </sheetViews>
  <sheetFormatPr baseColWidth="8" defaultColWidth="9" defaultRowHeight="16.8"/>
  <cols>
    <col width="8" customWidth="1" min="1" max="1"/>
    <col width="6" customWidth="1" min="2" max="2"/>
    <col width="15" customWidth="1" min="3" max="3"/>
    <col width="62" customWidth="1" min="4" max="4"/>
    <col width="30" customWidth="1" min="5" max="5"/>
    <col width="22" customWidth="1" min="6" max="6"/>
  </cols>
  <sheetData>
    <row r="1" ht="18.4" customHeight="1">
      <c r="A1" t="inlineStr">
        <is>
          <t>周计划明细（V9：双 Release · R1 功能期 W1~W10 → W11 上线周 → R2 W12 收尾）</t>
        </is>
      </c>
      <c r="B1" s="58" t="inlineStr">
        <is>
          <t>周计划明细（V8：按 8 大功能域编号 · CC 单系统贯穿 · 上线即结束）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</row>
    <row r="2">
      <c r="B2" s="74" t="n"/>
      <c r="C2" s="59" t="n"/>
      <c r="D2" s="59" t="n"/>
      <c r="E2" s="59" t="n"/>
      <c r="F2" s="59" t="n"/>
      <c r="G2" s="59" t="n"/>
      <c r="H2" s="59" t="n"/>
      <c r="I2" s="59" t="n"/>
      <c r="J2" s="59" t="n"/>
    </row>
    <row r="3"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</row>
    <row r="4" ht="28" customHeight="1">
      <c r="A4" s="62" t="inlineStr">
        <is>
          <t>Release</t>
        </is>
      </c>
      <c r="B4" s="62" t="inlineStr">
        <is>
          <t>Sprint</t>
        </is>
      </c>
      <c r="C4" s="62" t="inlineStr">
        <is>
          <t>Week</t>
        </is>
      </c>
      <c r="D4" s="62" t="inlineStr">
        <is>
          <t>角色</t>
        </is>
      </c>
      <c r="E4" s="62" t="inlineStr">
        <is>
          <t>任务</t>
        </is>
      </c>
      <c r="F4" s="62" t="inlineStr">
        <is>
          <t>产出物 / 验收标准</t>
        </is>
      </c>
      <c r="G4" s="62" t="inlineStr">
        <is>
          <t>依赖/阻塞</t>
        </is>
      </c>
      <c r="H4" s="59" t="n"/>
      <c r="I4" s="59" t="n"/>
      <c r="J4" s="59" t="n"/>
    </row>
    <row r="5" ht="30" customHeight="1">
      <c r="A5" s="118" t="inlineStr">
        <is>
          <t>R1</t>
        </is>
      </c>
      <c r="B5" s="75" t="inlineStr">
        <is>
          <t>Sprint 0</t>
        </is>
      </c>
      <c r="C5" s="76" t="inlineStr">
        <is>
          <t>W1</t>
        </is>
      </c>
      <c r="D5" s="77" t="inlineStr">
        <is>
          <t>A·需求(50%)</t>
        </is>
      </c>
      <c r="E5" s="78" t="inlineStr">
        <is>
          <t>• 【8 域需求访谈】业务方×2 场（检索/导出/审计场景）+ 合规法务×1 场（保留期/PII/Legal Hold）</t>
        </is>
      </c>
      <c r="F5" s="79" t="inlineStr">
        <is>
          <t>BRD 初稿可评审；CC 剔除规则确认</t>
        </is>
      </c>
      <c r="G5" s="80" t="inlineStr">
        <is>
          <t>业务方访谈排期</t>
        </is>
      </c>
      <c r="H5" s="59" t="n"/>
      <c r="I5" s="59" t="n"/>
      <c r="J5" s="59" t="n"/>
    </row>
    <row r="6" ht="22" customHeight="1">
      <c r="B6" s="81" t="n"/>
      <c r="C6" s="81" t="n"/>
      <c r="D6" s="82" t="n"/>
      <c r="E6" s="78" t="inlineStr">
        <is>
          <t>• 【BRD】数据流图（源系统→湖仓→查询/处置）+ 归档范围矩阵 + PII 字段分级清单</t>
        </is>
      </c>
      <c r="F6" s="81" t="n"/>
      <c r="G6" s="81" t="n"/>
      <c r="H6" s="59" t="n"/>
      <c r="I6" s="59" t="n"/>
      <c r="J6" s="59" t="n"/>
    </row>
    <row r="7" ht="22" customHeight="1">
      <c r="B7" s="81" t="n"/>
      <c r="C7" s="81" t="n"/>
      <c r="D7" s="82" t="n"/>
      <c r="E7" s="78" t="inlineStr">
        <is>
          <t>• 【02】"实时"指标确认（分钟级 or 小时级，直接影响技术方案）</t>
        </is>
      </c>
      <c r="F7" s="81" t="n"/>
      <c r="G7" s="81" t="n"/>
      <c r="H7" s="59" t="n"/>
      <c r="I7" s="59" t="n"/>
      <c r="J7" s="59" t="n"/>
    </row>
    <row r="8" ht="30" customHeight="1">
      <c r="B8" s="81" t="n"/>
      <c r="C8" s="81" t="n"/>
      <c r="D8" s="82" t="n"/>
      <c r="E8" s="78" t="inlineStr">
        <is>
          <t>• CC 接入范围初定：1253 表垃圾表剔除标准（bak/temp/_Old 规则）与业务方对齐</t>
        </is>
      </c>
      <c r="F8" s="81" t="n"/>
      <c r="G8" s="81" t="n"/>
      <c r="H8" s="59" t="n"/>
      <c r="I8" s="59" t="n"/>
      <c r="J8" s="59" t="n"/>
    </row>
    <row r="9" ht="22" customHeight="1">
      <c r="A9" s="118" t="inlineStr">
        <is>
          <t>R1</t>
        </is>
      </c>
      <c r="B9" s="75" t="inlineStr">
        <is>
          <t>Sprint 0</t>
        </is>
      </c>
      <c r="C9" s="76" t="inlineStr">
        <is>
          <t>W1</t>
        </is>
      </c>
      <c r="D9" s="83" t="inlineStr">
        <is>
          <t>B·架构+开发</t>
        </is>
      </c>
      <c r="E9" s="78" t="inlineStr">
        <is>
          <t>• 架构设计文档定稿（湖仓分层 + 数据流 + UC 授权模型 + 存储分层）</t>
        </is>
      </c>
      <c r="F9" s="79" t="inlineStr">
        <is>
          <t>架构文档 V1；资源申请单已交</t>
        </is>
      </c>
      <c r="G9" s="80" t="inlineStr">
        <is>
          <t>平台团队受理周期；CC 账号</t>
        </is>
      </c>
      <c r="H9" s="59" t="n"/>
      <c r="I9" s="59" t="n"/>
      <c r="J9" s="59" t="n"/>
    </row>
    <row r="10" ht="30" customHeight="1">
      <c r="B10" s="81" t="n"/>
      <c r="C10" s="81" t="n"/>
      <c r="D10" s="84" t="n"/>
      <c r="E10" s="78" t="inlineStr">
        <is>
          <t>• 资源申请单提交平台团队（AKS 命名空间/ADLS/SQL DB/Databricks/Key Vault/AGW，区域=境内）</t>
        </is>
      </c>
      <c r="F10" s="81" t="n"/>
      <c r="G10" s="81" t="n"/>
      <c r="H10" s="59" t="n"/>
      <c r="I10" s="59" t="n"/>
      <c r="J10" s="59" t="n"/>
    </row>
    <row r="11" ht="22" customHeight="1">
      <c r="B11" s="81" t="n"/>
      <c r="C11" s="81" t="n"/>
      <c r="D11" s="84" t="n"/>
      <c r="E11" s="78" t="inlineStr">
        <is>
          <t>• 源库对接：CC 只读账号 + NAT 白名单申请（流程最长，W1 必须启动）</t>
        </is>
      </c>
      <c r="F11" s="81" t="n"/>
      <c r="G11" s="81" t="n"/>
      <c r="H11" s="59" t="n"/>
      <c r="I11" s="59" t="n"/>
      <c r="J11" s="59" t="n"/>
    </row>
    <row r="12" ht="30" customHeight="1">
      <c r="A12" s="118" t="inlineStr">
        <is>
          <t>R1</t>
        </is>
      </c>
      <c r="B12" s="75" t="inlineStr">
        <is>
          <t>Sprint 0</t>
        </is>
      </c>
      <c r="C12" s="76" t="inlineStr">
        <is>
          <t>W1</t>
        </is>
      </c>
      <c r="D12" s="85" t="inlineStr">
        <is>
          <t>C·数据工程</t>
        </is>
      </c>
      <c r="E12" s="78" t="inlineStr">
        <is>
          <t>• CC 源库结构预研：1253 表 information_schema 全量扫描 + 表分类（业务表/垃圾表/附件元数据表）</t>
        </is>
      </c>
      <c r="F12" s="79" t="inlineStr">
        <is>
          <t>CC 表分类清单；四层设计文档</t>
        </is>
      </c>
      <c r="G12" s="80" t="inlineStr">
        <is>
          <t>CC 只读账号（B 申请中）</t>
        </is>
      </c>
      <c r="H12" s="59" t="n"/>
      <c r="I12" s="59" t="n"/>
      <c r="J12" s="59" t="n"/>
    </row>
    <row r="13" ht="22" customHeight="1">
      <c r="B13" s="81" t="n"/>
      <c r="C13" s="81" t="n"/>
      <c r="D13" s="86" t="n"/>
      <c r="E13" s="78" t="inlineStr">
        <is>
          <t>• 四层建模设计细化（RAW→CURATED→LAKE→SERVE 转换规则与分区策略）</t>
        </is>
      </c>
      <c r="F13" s="81" t="n"/>
      <c r="G13" s="81" t="n"/>
      <c r="H13" s="59" t="n"/>
      <c r="I13" s="59" t="n"/>
      <c r="J13" s="59" t="n"/>
    </row>
    <row r="14" ht="22" customHeight="1">
      <c r="B14" s="81" t="n"/>
      <c r="C14" s="81" t="n"/>
      <c r="D14" s="86" t="n"/>
      <c r="E14" s="78" t="inlineStr">
        <is>
          <t>• SeaTunnel 任务模板设计（元数据驱动 .conf 生成器架构）</t>
        </is>
      </c>
      <c r="F14" s="81" t="n"/>
      <c r="G14" s="81" t="n"/>
      <c r="H14" s="59" t="n"/>
      <c r="I14" s="59" t="n"/>
      <c r="J14" s="59" t="n"/>
    </row>
    <row r="15" ht="30" customHeight="1">
      <c r="A15" s="118" t="inlineStr">
        <is>
          <t>R1</t>
        </is>
      </c>
      <c r="B15" s="75" t="inlineStr">
        <is>
          <t>Sprint 0</t>
        </is>
      </c>
      <c r="C15" s="76" t="inlineStr">
        <is>
          <t>W1</t>
        </is>
      </c>
      <c r="D15" s="87" t="inlineStr">
        <is>
          <t>D·全栈+DevOps</t>
        </is>
      </c>
      <c r="E15" s="78" t="inlineStr">
        <is>
          <t>• .NET 10 后端骨架（Clean Architecture + EF Core）+ React 前端骨架</t>
        </is>
      </c>
      <c r="F15" s="79" t="inlineStr">
        <is>
          <t>本地可开发；CI 推镜像成功</t>
        </is>
      </c>
      <c r="G15" s="80" t="inlineStr">
        <is>
          <t>平台 ACR</t>
        </is>
      </c>
      <c r="H15" s="59" t="n"/>
      <c r="I15" s="59" t="n"/>
      <c r="J15" s="59" t="n"/>
    </row>
    <row r="16" ht="30" customHeight="1">
      <c r="B16" s="81" t="n"/>
      <c r="C16" s="81" t="n"/>
      <c r="D16" s="88" t="n"/>
      <c r="E16" s="78" t="inlineStr">
        <is>
          <t>• Docker Compose 本地开发环境（SQL Server + Azurite 模拟 ADLS）</t>
        </is>
      </c>
      <c r="F16" s="81" t="n"/>
      <c r="G16" s="81" t="n"/>
      <c r="H16" s="59" t="n"/>
      <c r="I16" s="59" t="n"/>
      <c r="J16" s="59" t="n"/>
    </row>
    <row r="17" ht="22" customHeight="1">
      <c r="B17" s="81" t="n"/>
      <c r="C17" s="81" t="n"/>
      <c r="D17" s="88" t="n"/>
      <c r="E17" s="78" t="inlineStr">
        <is>
          <t>• CI 骨架：Azure DevOps Pipelines build + 单测 + 推镜像（平台 ACR）</t>
        </is>
      </c>
      <c r="F17" s="81" t="n"/>
      <c r="G17" s="81" t="n"/>
      <c r="H17" s="59" t="n"/>
      <c r="I17" s="59" t="n"/>
      <c r="J17" s="59" t="n"/>
    </row>
    <row r="18" ht="22" customHeight="1">
      <c r="A18" s="118" t="inlineStr">
        <is>
          <t>R1</t>
        </is>
      </c>
      <c r="B18" s="75" t="inlineStr">
        <is>
          <t>Sprint 0</t>
        </is>
      </c>
      <c r="C18" s="76" t="inlineStr">
        <is>
          <t>W1</t>
        </is>
      </c>
      <c r="D18" s="89" t="inlineStr">
        <is>
          <t>E·QA+SLC文档</t>
        </is>
      </c>
      <c r="E18" s="78" t="inlineStr">
        <is>
          <t>• 测试计划初稿（按 8 大功能域组织：迁移/治理/生命周期/安全/检索/合规/连接器/权限）</t>
        </is>
      </c>
      <c r="F18" s="79" t="inlineStr">
        <is>
          <t>测试计划初稿；架构图×2 初稿</t>
        </is>
      </c>
      <c r="G18" s="80" t="inlineStr">
        <is>
          <t>A 的 BRD 范围</t>
        </is>
      </c>
      <c r="H18" s="59" t="n"/>
      <c r="I18" s="59" t="n"/>
      <c r="J18" s="59" t="n"/>
    </row>
    <row r="19" ht="22" customHeight="1">
      <c r="B19" s="81" t="n"/>
      <c r="C19" s="81" t="n"/>
      <c r="D19" s="90" t="n"/>
      <c r="E19" s="78" t="inlineStr">
        <is>
          <t>• 架构图初稿：系统上下文图 + 容器图</t>
        </is>
      </c>
      <c r="F19" s="81" t="n"/>
      <c r="G19" s="81" t="n"/>
      <c r="H19" s="59" t="n"/>
      <c r="I19" s="59" t="n"/>
      <c r="J19" s="59" t="n"/>
    </row>
    <row r="20" ht="22" customHeight="1">
      <c r="B20" s="81" t="n"/>
      <c r="C20" s="81" t="n"/>
      <c r="D20" s="90" t="n"/>
      <c r="E20" s="78" t="inlineStr">
        <is>
          <t>• 文档模板 4 套定稿（详细设计/接口/用户手册/运维手册）</t>
        </is>
      </c>
      <c r="F20" s="81" t="n"/>
      <c r="G20" s="81" t="n"/>
      <c r="H20" s="59" t="n"/>
      <c r="I20" s="59" t="n"/>
      <c r="J20" s="59" t="n"/>
    </row>
    <row r="21" ht="22" customHeight="1">
      <c r="A21" s="118" t="inlineStr">
        <is>
          <t>R1</t>
        </is>
      </c>
      <c r="B21" s="75" t="inlineStr">
        <is>
          <t>Sprint 0</t>
        </is>
      </c>
      <c r="C21" s="76" t="inlineStr">
        <is>
          <t>W2</t>
        </is>
      </c>
      <c r="D21" s="77" t="inlineStr">
        <is>
          <t>A·需求(50%)</t>
        </is>
      </c>
      <c r="E21" s="78" t="inlineStr">
        <is>
          <t>• BRD 评审会 → 定稿签字（8 域功能清单 + 数据流图 + 保留期矩阵）</t>
        </is>
      </c>
      <c r="F21" s="79" t="inlineStr">
        <is>
          <t>BRD 签字；CC 首批表清单</t>
        </is>
      </c>
      <c r="G21" s="80" t="inlineStr">
        <is>
          <t>业务方到场</t>
        </is>
      </c>
      <c r="H21" s="59" t="n"/>
      <c r="I21" s="59" t="n"/>
      <c r="J21" s="59" t="n"/>
    </row>
    <row r="22" ht="22" customHeight="1">
      <c r="B22" s="81" t="n"/>
      <c r="C22" s="81" t="n"/>
      <c r="D22" s="82" t="n"/>
      <c r="E22" s="78" t="inlineStr">
        <is>
          <t>• 用户故事地图 + Sprint 1~5 验收标准</t>
        </is>
      </c>
      <c r="F22" s="81" t="n"/>
      <c r="G22" s="81" t="n"/>
      <c r="H22" s="59" t="n"/>
      <c r="I22" s="59" t="n"/>
      <c r="J22" s="59" t="n"/>
    </row>
    <row r="23" ht="22" customHeight="1">
      <c r="B23" s="81" t="n"/>
      <c r="C23" s="81" t="n"/>
      <c r="D23" s="82" t="n"/>
      <c r="E23" s="78" t="inlineStr">
        <is>
          <t>• CC 首批 50 张热表清单确认（业务方勾选：高频查询表）</t>
        </is>
      </c>
      <c r="F23" s="81" t="n"/>
      <c r="G23" s="81" t="n"/>
      <c r="H23" s="59" t="n"/>
      <c r="I23" s="59" t="n"/>
      <c r="J23" s="59" t="n"/>
    </row>
    <row r="24" ht="30" customHeight="1">
      <c r="A24" s="118" t="inlineStr">
        <is>
          <t>R1</t>
        </is>
      </c>
      <c r="B24" s="75" t="inlineStr">
        <is>
          <t>Sprint 0</t>
        </is>
      </c>
      <c r="C24" s="76" t="inlineStr">
        <is>
          <t>W2</t>
        </is>
      </c>
      <c r="D24" s="83" t="inlineStr">
        <is>
          <t>B·架构+开发</t>
        </is>
      </c>
      <c r="E24" s="78" t="inlineStr">
        <is>
          <t>• 平台交付资源验收（ADLS 读写/SQL DB/Databricks 登录/Key Vault 取密钥 逐项连通）</t>
        </is>
      </c>
      <c r="F24" s="79" t="inlineStr">
        <is>
          <t>资源验收通过；UC 就绪</t>
        </is>
      </c>
      <c r="G24" s="80" t="inlineStr">
        <is>
          <t>平台交付时间</t>
        </is>
      </c>
      <c r="H24" s="59" t="n"/>
      <c r="I24" s="59" t="n"/>
      <c r="J24" s="59" t="n"/>
    </row>
    <row r="25" ht="30" customHeight="1">
      <c r="B25" s="81" t="n"/>
      <c r="C25" s="81" t="n"/>
      <c r="D25" s="84" t="n"/>
      <c r="E25" s="78" t="inlineStr">
        <is>
          <t>• UC 初始化：arch_cc catalog + GRANT 模板 + SP-query/SP-audit 服务主体</t>
        </is>
      </c>
      <c r="F25" s="81" t="n"/>
      <c r="G25" s="81" t="n"/>
      <c r="H25" s="59" t="n"/>
      <c r="I25" s="59" t="n"/>
      <c r="J25" s="59" t="n"/>
    </row>
    <row r="26" ht="22" customHeight="1">
      <c r="B26" s="81" t="n"/>
      <c r="C26" s="81" t="n"/>
      <c r="D26" s="84" t="n"/>
      <c r="E26" s="78" t="inlineStr">
        <is>
          <t>• 境内驻留核查 v1：全部资源区域配置确认</t>
        </is>
      </c>
      <c r="F26" s="81" t="n"/>
      <c r="G26" s="81" t="n"/>
      <c r="H26" s="59" t="n"/>
      <c r="I26" s="59" t="n"/>
      <c r="J26" s="59" t="n"/>
    </row>
    <row r="27" ht="30" customHeight="1">
      <c r="A27" s="118" t="inlineStr">
        <is>
          <t>R1</t>
        </is>
      </c>
      <c r="B27" s="75" t="inlineStr">
        <is>
          <t>Sprint 0</t>
        </is>
      </c>
      <c r="C27" s="76" t="inlineStr">
        <is>
          <t>W2</t>
        </is>
      </c>
      <c r="D27" s="85" t="inlineStr">
        <is>
          <t>C·数据工程</t>
        </is>
      </c>
      <c r="E27" s="78" t="inlineStr">
        <is>
          <t>• SeaTunnel PoC：CC 源库抽样 10 张表 → Iceberg RAW → SQL Warehouse 可查</t>
        </is>
      </c>
      <c r="F27" s="79" t="inlineStr">
        <is>
          <t>PoC 端到端成功</t>
        </is>
      </c>
      <c r="G27" s="80" t="inlineStr">
        <is>
          <t>CC 账号 + 资源交付</t>
        </is>
      </c>
      <c r="H27" s="59" t="n"/>
      <c r="I27" s="59" t="n"/>
      <c r="J27" s="59" t="n"/>
    </row>
    <row r="28" ht="22" customHeight="1">
      <c r="B28" s="81" t="n"/>
      <c r="C28" s="81" t="n"/>
      <c r="D28" s="86" t="n"/>
      <c r="E28" s="78" t="inlineStr">
        <is>
          <t>• PoC 风险记录（连接器兼容/类型映射问题清单）</t>
        </is>
      </c>
      <c r="F28" s="81" t="n"/>
      <c r="G28" s="81" t="n"/>
      <c r="H28" s="59" t="n"/>
      <c r="I28" s="59" t="n"/>
      <c r="J28" s="59" t="n"/>
    </row>
    <row r="29" ht="22" customHeight="1">
      <c r="A29" s="118" t="inlineStr">
        <is>
          <t>R1</t>
        </is>
      </c>
      <c r="B29" s="75" t="inlineStr">
        <is>
          <t>Sprint 0</t>
        </is>
      </c>
      <c r="C29" s="76" t="inlineStr">
        <is>
          <t>W2</t>
        </is>
      </c>
      <c r="D29" s="87" t="inlineStr">
        <is>
          <t>D·全栈+DevOps</t>
        </is>
      </c>
      <c r="E29" s="78" t="inlineStr">
        <is>
          <t>• CD 流水线：Azure DevOps Environments（Dev）+ Helm 部署到平台 AKS 命名空间（服务连接走托管标识）</t>
        </is>
      </c>
      <c r="F29" s="79" t="inlineStr">
        <is>
          <t>端到端自动部署；登录可走通</t>
        </is>
      </c>
      <c r="G29" s="80" t="inlineStr">
        <is>
          <t>Entra ID 配置</t>
        </is>
      </c>
      <c r="H29" s="59" t="n"/>
      <c r="I29" s="59" t="n"/>
      <c r="J29" s="59" t="n"/>
    </row>
    <row r="30" ht="22" customHeight="1">
      <c r="B30" s="81" t="n"/>
      <c r="C30" s="81" t="n"/>
      <c r="D30" s="88" t="n"/>
      <c r="E30" s="78" t="inlineStr">
        <is>
          <t>• 元数据库 35 张表 Migration + 种子数据</t>
        </is>
      </c>
      <c r="F30" s="81" t="n"/>
      <c r="G30" s="81" t="n"/>
      <c r="H30" s="59" t="n"/>
      <c r="I30" s="59" t="n"/>
      <c r="J30" s="59" t="n"/>
    </row>
    <row r="31" ht="22" customHeight="1">
      <c r="B31" s="81" t="n"/>
      <c r="C31" s="81" t="n"/>
      <c r="D31" s="88" t="n"/>
      <c r="E31" s="78" t="inlineStr">
        <is>
          <t>• SSO 走通：Entra ID OIDC 登录页 + 系统列表页</t>
        </is>
      </c>
      <c r="F31" s="81" t="n"/>
      <c r="G31" s="81" t="n"/>
      <c r="H31" s="59" t="n"/>
      <c r="I31" s="59" t="n"/>
      <c r="J31" s="59" t="n"/>
    </row>
    <row r="32" ht="22" customHeight="1">
      <c r="A32" s="118" t="inlineStr">
        <is>
          <t>R1</t>
        </is>
      </c>
      <c r="B32" s="75" t="inlineStr">
        <is>
          <t>Sprint 0</t>
        </is>
      </c>
      <c r="C32" s="76" t="inlineStr">
        <is>
          <t>W2</t>
        </is>
      </c>
      <c r="D32" s="89" t="inlineStr">
        <is>
          <t>E·QA+SLC文档</t>
        </is>
      </c>
      <c r="E32" s="78" t="inlineStr">
        <is>
          <t>• 架构图完善：组件图 + 部署图（标注平台团队管理的资源边界）</t>
        </is>
      </c>
      <c r="F32" s="79" t="inlineStr">
        <is>
          <t>架构图×4 初稿；UAT 清单</t>
        </is>
      </c>
      <c r="G32" s="80" t="inlineStr"/>
      <c r="H32" s="59" t="n"/>
      <c r="I32" s="59" t="n"/>
      <c r="J32" s="59" t="n"/>
    </row>
    <row r="33" ht="22" customHeight="1">
      <c r="B33" s="81" t="n"/>
      <c r="C33" s="81" t="n"/>
      <c r="D33" s="90" t="n"/>
      <c r="E33" s="78" t="inlineStr">
        <is>
          <t>• 接口文档初稿（API 清单 + 示例）</t>
        </is>
      </c>
      <c r="F33" s="81" t="n"/>
      <c r="G33" s="81" t="n"/>
      <c r="H33" s="59" t="n"/>
      <c r="I33" s="59" t="n"/>
      <c r="J33" s="59" t="n"/>
    </row>
    <row r="34" ht="22" customHeight="1">
      <c r="B34" s="81" t="n"/>
      <c r="C34" s="81" t="n"/>
      <c r="D34" s="90" t="n"/>
      <c r="E34" s="78" t="inlineStr">
        <is>
          <t>• UAT 场景清单（8 域各 1~2 场景初稿）</t>
        </is>
      </c>
      <c r="F34" s="81" t="n"/>
      <c r="G34" s="81" t="n"/>
      <c r="H34" s="59" t="n"/>
      <c r="I34" s="59" t="n"/>
      <c r="J34" s="59" t="n"/>
    </row>
    <row r="35" ht="22" customHeight="1">
      <c r="A35" s="118" t="inlineStr">
        <is>
          <t>R1</t>
        </is>
      </c>
      <c r="B35" s="91" t="inlineStr">
        <is>
          <t>Sprint 1</t>
        </is>
      </c>
      <c r="C35" s="76" t="inlineStr">
        <is>
          <t>W3</t>
        </is>
      </c>
      <c r="D35" s="77" t="inlineStr">
        <is>
          <t>A·需求(50%)</t>
        </is>
      </c>
      <c r="E35" s="78" t="inlineStr">
        <is>
          <t>• Sprint 2 需求澄清（增量频率/冷数据标准/Legal Hold 条件细化）</t>
        </is>
      </c>
      <c r="F35" s="79" t="inlineStr">
        <is>
          <t>S2 需求就绪；PII 标记清单</t>
        </is>
      </c>
      <c r="G35" s="80" t="inlineStr"/>
      <c r="H35" s="59" t="n"/>
      <c r="I35" s="59" t="n"/>
      <c r="J35" s="59" t="n"/>
    </row>
    <row r="36" ht="22" customHeight="1">
      <c r="B36" s="81" t="n"/>
      <c r="C36" s="81" t="n"/>
      <c r="D36" s="82" t="n"/>
      <c r="E36" s="78" t="inlineStr">
        <is>
          <t>• CC 首批 50 表字段级确认（PII 列标记：身份证/手机号/录音索引）</t>
        </is>
      </c>
      <c r="F36" s="81" t="n"/>
      <c r="G36" s="81" t="n"/>
      <c r="H36" s="59" t="n"/>
      <c r="I36" s="59" t="n"/>
      <c r="J36" s="59" t="n"/>
    </row>
    <row r="37" ht="30" customHeight="1">
      <c r="A37" s="118" t="inlineStr">
        <is>
          <t>R1</t>
        </is>
      </c>
      <c r="B37" s="91" t="inlineStr">
        <is>
          <t>Sprint 1</t>
        </is>
      </c>
      <c r="C37" s="76" t="inlineStr">
        <is>
          <t>W3</t>
        </is>
      </c>
      <c r="D37" s="83" t="inlineStr">
        <is>
          <t>B·架构+开发</t>
        </is>
      </c>
      <c r="E37" s="78" t="inlineStr">
        <is>
          <t>• 【08】角色权限①：user/role/permission/page 四表 CRUD API + 关联表接口</t>
        </is>
      </c>
      <c r="F37" s="79" t="inlineStr">
        <is>
          <t>RBAC API + 鉴权中间件提测</t>
        </is>
      </c>
      <c r="G37" s="80" t="inlineStr"/>
      <c r="H37" s="59" t="n"/>
      <c r="I37" s="59" t="n"/>
      <c r="J37" s="59" t="n"/>
    </row>
    <row r="38" ht="22" customHeight="1">
      <c r="B38" s="81" t="n"/>
      <c r="C38" s="81" t="n"/>
      <c r="D38" s="84" t="n"/>
      <c r="E38" s="78" t="inlineStr">
        <is>
          <t>• 【08】角色权限②：OIDC → JWT 角色 Claims → 后端鉴权中间件</t>
        </is>
      </c>
      <c r="F38" s="81" t="n"/>
      <c r="G38" s="81" t="n"/>
      <c r="H38" s="59" t="n"/>
      <c r="I38" s="59" t="n"/>
      <c r="J38" s="59" t="n"/>
    </row>
    <row r="39" ht="22" customHeight="1">
      <c r="B39" s="81" t="n"/>
      <c r="C39" s="81" t="n"/>
      <c r="D39" s="84" t="n"/>
      <c r="E39" s="78" t="inlineStr">
        <is>
          <t>• 【08】角色权限③：前端菜单/按钮级权限渲染指令</t>
        </is>
      </c>
      <c r="F39" s="81" t="n"/>
      <c r="G39" s="81" t="n"/>
      <c r="H39" s="59" t="n"/>
      <c r="I39" s="59" t="n"/>
      <c r="J39" s="59" t="n"/>
    </row>
    <row r="40" ht="22" customHeight="1">
      <c r="B40" s="81" t="n"/>
      <c r="C40" s="81" t="n"/>
      <c r="D40" s="84" t="n"/>
      <c r="E40" s="78" t="inlineStr">
        <is>
          <t>• 代码评审（C 数据链路 + D 骨架）</t>
        </is>
      </c>
      <c r="F40" s="81" t="n"/>
      <c r="G40" s="81" t="n"/>
      <c r="H40" s="59" t="n"/>
      <c r="I40" s="59" t="n"/>
      <c r="J40" s="59" t="n"/>
    </row>
    <row r="41" ht="22" customHeight="1">
      <c r="A41" s="118" t="inlineStr">
        <is>
          <t>R1</t>
        </is>
      </c>
      <c r="B41" s="91" t="inlineStr">
        <is>
          <t>Sprint 1</t>
        </is>
      </c>
      <c r="C41" s="76" t="inlineStr">
        <is>
          <t>W3</t>
        </is>
      </c>
      <c r="D41" s="85" t="inlineStr">
        <is>
          <t>C·数据工程</t>
        </is>
      </c>
      <c r="E41" s="78" t="inlineStr">
        <is>
          <t>• 【01】SeaTunnel 批量导入：CC 首批 50 表（分片并行/限速/断点续传）</t>
        </is>
      </c>
      <c r="F41" s="79" t="inlineStr">
        <is>
          <t>CC 50 表批量入 RAW；任务可管理</t>
        </is>
      </c>
      <c r="G41" s="80" t="inlineStr">
        <is>
          <t>CC 表清单（A 确认）</t>
        </is>
      </c>
      <c r="H41" s="59" t="n"/>
      <c r="I41" s="59" t="n"/>
      <c r="J41" s="59" t="n"/>
    </row>
    <row r="42" ht="22" customHeight="1">
      <c r="B42" s="81" t="n"/>
      <c r="C42" s="81" t="n"/>
      <c r="D42" s="86" t="n"/>
      <c r="E42" s="78" t="inlineStr">
        <is>
          <t>• 【01】迁移任务管理：配置生成器（勾选→.conf→K8s Job）+ 状态跟踪</t>
        </is>
      </c>
      <c r="F42" s="81" t="n"/>
      <c r="G42" s="81" t="n"/>
      <c r="H42" s="59" t="n"/>
      <c r="I42" s="59" t="n"/>
      <c r="J42" s="59" t="n"/>
    </row>
    <row r="43" ht="22" customHeight="1">
      <c r="B43" s="81" t="n"/>
      <c r="C43" s="81" t="n"/>
      <c r="D43" s="86" t="n"/>
      <c r="E43" s="78" t="inlineStr">
        <is>
          <t>• 【07】JDBC 连接器模板 v1：SQL Server 类型映射表</t>
        </is>
      </c>
      <c r="F43" s="81" t="n"/>
      <c r="G43" s="81" t="n"/>
      <c r="H43" s="59" t="n"/>
      <c r="I43" s="59" t="n"/>
      <c r="J43" s="59" t="n"/>
    </row>
    <row r="44" ht="22" customHeight="1">
      <c r="A44" s="118" t="inlineStr">
        <is>
          <t>R1</t>
        </is>
      </c>
      <c r="B44" s="91" t="inlineStr">
        <is>
          <t>Sprint 1</t>
        </is>
      </c>
      <c r="C44" s="76" t="inlineStr">
        <is>
          <t>W3</t>
        </is>
      </c>
      <c r="D44" s="87" t="inlineStr">
        <is>
          <t>D·全栈+DevOps</t>
        </is>
      </c>
      <c r="E44" s="78" t="inlineStr">
        <is>
          <t>• 【01】迁移任务管理界面（任务列表/进度/对账结果查看）</t>
        </is>
      </c>
      <c r="F44" s="79" t="inlineStr">
        <is>
          <t>任务管理界面；检索页可查</t>
        </is>
      </c>
      <c r="G44" s="80" t="inlineStr"/>
      <c r="H44" s="59" t="n"/>
      <c r="I44" s="59" t="n"/>
      <c r="J44" s="59" t="n"/>
    </row>
    <row r="45" ht="22" customHeight="1">
      <c r="B45" s="81" t="n"/>
      <c r="C45" s="81" t="n"/>
      <c r="D45" s="88" t="n"/>
      <c r="E45" s="78" t="inlineStr">
        <is>
          <t>• 【05】基础检索页：配置化动态渲染（筛选/表格/分页）</t>
        </is>
      </c>
      <c r="F45" s="81" t="n"/>
      <c r="G45" s="81" t="n"/>
      <c r="H45" s="59" t="n"/>
      <c r="I45" s="59" t="n"/>
      <c r="J45" s="59" t="n"/>
    </row>
    <row r="46" ht="22" customHeight="1">
      <c r="B46" s="81" t="n"/>
      <c r="C46" s="81" t="n"/>
      <c r="D46" s="88" t="n"/>
      <c r="E46" s="78" t="inlineStr">
        <is>
          <t>• 【06】操作审计埋点 v1（后端拦截 → 审计表）</t>
        </is>
      </c>
      <c r="F46" s="81" t="n"/>
      <c r="G46" s="81" t="n"/>
      <c r="H46" s="59" t="n"/>
      <c r="I46" s="59" t="n"/>
      <c r="J46" s="59" t="n"/>
    </row>
    <row r="47" ht="22" customHeight="1">
      <c r="B47" s="81" t="n"/>
      <c r="C47" s="81" t="n"/>
      <c r="D47" s="88" t="n"/>
      <c r="E47" s="78" t="inlineStr">
        <is>
          <t>• 代码安全①：依赖扫描进 CI（npm audit / dotnet audit）</t>
        </is>
      </c>
      <c r="F47" s="81" t="n"/>
      <c r="G47" s="81" t="n"/>
      <c r="H47" s="59" t="n"/>
      <c r="I47" s="59" t="n"/>
      <c r="J47" s="59" t="n"/>
    </row>
    <row r="48" ht="22" customHeight="1">
      <c r="A48" s="118" t="inlineStr">
        <is>
          <t>R1</t>
        </is>
      </c>
      <c r="B48" s="91" t="inlineStr">
        <is>
          <t>Sprint 1</t>
        </is>
      </c>
      <c r="C48" s="76" t="inlineStr">
        <is>
          <t>W3</t>
        </is>
      </c>
      <c r="D48" s="89" t="inlineStr">
        <is>
          <t>E·QA+SLC文档</t>
        </is>
      </c>
      <c r="E48" s="78" t="inlineStr">
        <is>
          <t>• 单元测试框架（xUnit + Mock）+ 覆盖率门禁 &gt;70% 进 CI</t>
        </is>
      </c>
      <c r="F48" s="79" t="inlineStr">
        <is>
          <t>CI 门禁生效；用例 10 条</t>
        </is>
      </c>
      <c r="G48" s="80" t="inlineStr">
        <is>
          <t>C/D API 稳定</t>
        </is>
      </c>
      <c r="H48" s="59" t="n"/>
      <c r="I48" s="59" t="n"/>
      <c r="J48" s="59" t="n"/>
    </row>
    <row r="49" ht="22" customHeight="1">
      <c r="B49" s="81" t="n"/>
      <c r="C49" s="81" t="n"/>
      <c r="D49" s="90" t="n"/>
      <c r="E49" s="78" t="inlineStr">
        <is>
          <t>• 【01】迁移对账测试设计（行数/校验和双向比对用例）</t>
        </is>
      </c>
      <c r="F49" s="81" t="n"/>
      <c r="G49" s="81" t="n"/>
      <c r="H49" s="59" t="n"/>
      <c r="I49" s="59" t="n"/>
      <c r="J49" s="59" t="n"/>
    </row>
    <row r="50" ht="22" customHeight="1">
      <c r="B50" s="81" t="n"/>
      <c r="C50" s="81" t="n"/>
      <c r="D50" s="90" t="n"/>
      <c r="E50" s="78" t="inlineStr">
        <is>
          <t>• API 集成测试 10 核心场景</t>
        </is>
      </c>
      <c r="F50" s="81" t="n"/>
      <c r="G50" s="81" t="n"/>
      <c r="H50" s="59" t="n"/>
      <c r="I50" s="59" t="n"/>
      <c r="J50" s="59" t="n"/>
    </row>
    <row r="51" ht="22" customHeight="1">
      <c r="B51" s="81" t="n"/>
      <c r="C51" s="81" t="n"/>
      <c r="D51" s="90" t="n"/>
      <c r="E51" s="78" t="inlineStr">
        <is>
          <t>• 详细设计初稿：应用层</t>
        </is>
      </c>
      <c r="F51" s="81" t="n"/>
      <c r="G51" s="81" t="n"/>
      <c r="H51" s="59" t="n"/>
      <c r="I51" s="59" t="n"/>
      <c r="J51" s="59" t="n"/>
    </row>
    <row r="52" ht="22" customHeight="1">
      <c r="A52" s="118" t="inlineStr">
        <is>
          <t>R1</t>
        </is>
      </c>
      <c r="B52" s="91" t="inlineStr">
        <is>
          <t>Sprint 1</t>
        </is>
      </c>
      <c r="C52" s="76" t="inlineStr">
        <is>
          <t>W4</t>
        </is>
      </c>
      <c r="D52" s="77" t="inlineStr">
        <is>
          <t>A·需求(50%)</t>
        </is>
      </c>
      <c r="E52" s="78" t="inlineStr">
        <is>
          <t>• 验收 Sprint 1 交付（对照用户故事：迁移对账/检索/权限三态）</t>
        </is>
      </c>
      <c r="F52" s="79" t="inlineStr">
        <is>
          <t>S1 验收记录；S3 需求就绪</t>
        </is>
      </c>
      <c r="G52" s="80" t="inlineStr"/>
      <c r="H52" s="59" t="n"/>
      <c r="I52" s="59" t="n"/>
      <c r="J52" s="59" t="n"/>
    </row>
    <row r="53" ht="22" customHeight="1">
      <c r="B53" s="81" t="n"/>
      <c r="C53" s="81" t="n"/>
      <c r="D53" s="82" t="n"/>
      <c r="E53" s="78" t="inlineStr">
        <is>
          <t>• Sprint 3 需求澄清（全量迁移范围最终确认 + 合规报表口径）</t>
        </is>
      </c>
      <c r="F53" s="81" t="n"/>
      <c r="G53" s="81" t="n"/>
      <c r="H53" s="59" t="n"/>
      <c r="I53" s="59" t="n"/>
      <c r="J53" s="59" t="n"/>
    </row>
    <row r="54" ht="30" customHeight="1">
      <c r="A54" s="118" t="inlineStr">
        <is>
          <t>R1</t>
        </is>
      </c>
      <c r="B54" s="91" t="inlineStr">
        <is>
          <t>Sprint 1</t>
        </is>
      </c>
      <c r="C54" s="76" t="inlineStr">
        <is>
          <t>W4</t>
        </is>
      </c>
      <c r="D54" s="83" t="inlineStr">
        <is>
          <t>B·架构+开发</t>
        </is>
      </c>
      <c r="E54" s="78" t="inlineStr">
        <is>
          <t>• 【08】角色权限④：UC GRANT 落地（arch_cc 的 SP-query/SP-audit）+ 掩码函数部署</t>
        </is>
      </c>
      <c r="F54" s="79" t="inlineStr">
        <is>
          <t>权限三态演示通过</t>
        </is>
      </c>
      <c r="G54" s="80" t="inlineStr">
        <is>
          <t>C 的 SERVE 数据</t>
        </is>
      </c>
      <c r="H54" s="59" t="n"/>
      <c r="I54" s="59" t="n"/>
      <c r="J54" s="59" t="n"/>
    </row>
    <row r="55" ht="22" customHeight="1">
      <c r="B55" s="81" t="n"/>
      <c r="C55" s="81" t="n"/>
      <c r="D55" s="84" t="n"/>
      <c r="E55" s="78" t="inlineStr">
        <is>
          <t>• 【08】角色权限⑤：查询代理按角色路由连接池</t>
        </is>
      </c>
      <c r="F55" s="81" t="n"/>
      <c r="G55" s="81" t="n"/>
      <c r="H55" s="59" t="n"/>
      <c r="I55" s="59" t="n"/>
      <c r="J55" s="59" t="n"/>
    </row>
    <row r="56" ht="22" customHeight="1">
      <c r="B56" s="81" t="n"/>
      <c r="C56" s="81" t="n"/>
      <c r="D56" s="84" t="n"/>
      <c r="E56" s="78" t="inlineStr">
        <is>
          <t>• 端到端联调：登录 → 权限判定 → 明文/掩码/拒绝三态</t>
        </is>
      </c>
      <c r="F56" s="81" t="n"/>
      <c r="G56" s="81" t="n"/>
      <c r="H56" s="59" t="n"/>
      <c r="I56" s="59" t="n"/>
      <c r="J56" s="59" t="n"/>
    </row>
    <row r="57" ht="22" customHeight="1">
      <c r="A57" s="118" t="inlineStr">
        <is>
          <t>R1</t>
        </is>
      </c>
      <c r="B57" s="91" t="inlineStr">
        <is>
          <t>Sprint 1</t>
        </is>
      </c>
      <c r="C57" s="76" t="inlineStr">
        <is>
          <t>W4</t>
        </is>
      </c>
      <c r="D57" s="85" t="inlineStr">
        <is>
          <t>C·数据工程</t>
        </is>
      </c>
      <c r="E57" s="78" t="inlineStr">
        <is>
          <t>• 【01】完整性校验：行数/校验和双向对账 + SHA-256 台账</t>
        </is>
      </c>
      <c r="F57" s="79" t="inlineStr">
        <is>
          <t>对账 100% 一致；SERVE 可查</t>
        </is>
      </c>
      <c r="G57" s="80" t="inlineStr"/>
      <c r="H57" s="59" t="n"/>
      <c r="I57" s="59" t="n"/>
      <c r="J57" s="59" t="n"/>
    </row>
    <row r="58" ht="22" customHeight="1">
      <c r="B58" s="81" t="n"/>
      <c r="C58" s="81" t="n"/>
      <c r="D58" s="86" t="n"/>
      <c r="E58" s="78" t="inlineStr">
        <is>
          <t>• 【01】首批 50 表 RAW→LAKE 直达转换</t>
        </is>
      </c>
      <c r="F58" s="81" t="n"/>
      <c r="G58" s="81" t="n"/>
      <c r="H58" s="59" t="n"/>
      <c r="I58" s="59" t="n"/>
      <c r="J58" s="59" t="n"/>
    </row>
    <row r="59" ht="22" customHeight="1">
      <c r="B59" s="81" t="n"/>
      <c r="C59" s="81" t="n"/>
      <c r="D59" s="86" t="n"/>
      <c r="E59" s="78" t="inlineStr">
        <is>
          <t>• 【05】SERVE 层首版（热表物化 + Z-Order）</t>
        </is>
      </c>
      <c r="F59" s="81" t="n"/>
      <c r="G59" s="81" t="n"/>
      <c r="H59" s="59" t="n"/>
      <c r="I59" s="59" t="n"/>
      <c r="J59" s="59" t="n"/>
    </row>
    <row r="60" ht="22" customHeight="1">
      <c r="B60" s="81" t="n"/>
      <c r="C60" s="81" t="n"/>
      <c r="D60" s="86" t="n"/>
      <c r="E60" s="78" t="inlineStr">
        <is>
          <t>• 代码安全：JDBC 连接串走 Key Vault（零硬编码）</t>
        </is>
      </c>
      <c r="F60" s="81" t="n"/>
      <c r="G60" s="81" t="n"/>
      <c r="H60" s="59" t="n"/>
      <c r="I60" s="59" t="n"/>
      <c r="J60" s="59" t="n"/>
    </row>
    <row r="61" ht="22" customHeight="1">
      <c r="A61" s="118" t="inlineStr">
        <is>
          <t>R1</t>
        </is>
      </c>
      <c r="B61" s="91" t="inlineStr">
        <is>
          <t>Sprint 1</t>
        </is>
      </c>
      <c r="C61" s="76" t="inlineStr">
        <is>
          <t>W4</t>
        </is>
      </c>
      <c r="D61" s="87" t="inlineStr">
        <is>
          <t>D·全栈+DevOps</t>
        </is>
      </c>
      <c r="E61" s="78" t="inlineStr">
        <is>
          <t>• 【05】结果预览：图片/附件 SAS 直连；导出 CSV</t>
        </is>
      </c>
      <c r="F61" s="79" t="inlineStr">
        <is>
          <t>预览/导出可用；SAST 零 High</t>
        </is>
      </c>
      <c r="G61" s="80" t="inlineStr"/>
      <c r="H61" s="59" t="n"/>
      <c r="I61" s="59" t="n"/>
      <c r="J61" s="59" t="n"/>
    </row>
    <row r="62" ht="22" customHeight="1">
      <c r="B62" s="81" t="n"/>
      <c r="C62" s="81" t="n"/>
      <c r="D62" s="88" t="n"/>
      <c r="E62" s="78" t="inlineStr">
        <is>
          <t>• 代码安全②：SAST 进 CI（CodeQL/Semgrep）</t>
        </is>
      </c>
      <c r="F62" s="81" t="n"/>
      <c r="G62" s="81" t="n"/>
      <c r="H62" s="59" t="n"/>
      <c r="I62" s="59" t="n"/>
      <c r="J62" s="59" t="n"/>
    </row>
    <row r="63" ht="22" customHeight="1">
      <c r="B63" s="81" t="n"/>
      <c r="C63" s="81" t="n"/>
      <c r="D63" s="88" t="n"/>
      <c r="E63" s="78" t="inlineStr">
        <is>
          <t>• 安全修复：Sprint 1 扫描 High 级清零</t>
        </is>
      </c>
      <c r="F63" s="81" t="n"/>
      <c r="G63" s="81" t="n"/>
      <c r="H63" s="59" t="n"/>
      <c r="I63" s="59" t="n"/>
      <c r="J63" s="59" t="n"/>
    </row>
    <row r="64" ht="22" customHeight="1">
      <c r="A64" s="118" t="inlineStr">
        <is>
          <t>R1</t>
        </is>
      </c>
      <c r="B64" s="91" t="inlineStr">
        <is>
          <t>Sprint 1</t>
        </is>
      </c>
      <c r="C64" s="76" t="inlineStr">
        <is>
          <t>W4</t>
        </is>
      </c>
      <c r="D64" s="89" t="inlineStr">
        <is>
          <t>E·QA+SLC文档</t>
        </is>
      </c>
      <c r="E64" s="78" t="inlineStr">
        <is>
          <t>• 【01】迁移对账执行 + 报告</t>
        </is>
      </c>
      <c r="F64" s="79" t="inlineStr">
        <is>
          <t>对账报告；测试报告</t>
        </is>
      </c>
      <c r="G64" s="80" t="inlineStr"/>
      <c r="H64" s="59" t="n"/>
      <c r="I64" s="59" t="n"/>
      <c r="J64" s="59" t="n"/>
    </row>
    <row r="65" ht="22" customHeight="1">
      <c r="B65" s="81" t="n"/>
      <c r="C65" s="81" t="n"/>
      <c r="D65" s="90" t="n"/>
      <c r="E65" s="78" t="inlineStr">
        <is>
          <t>• 安全测试①：注入/XSS/越权手工用例</t>
        </is>
      </c>
      <c r="F65" s="81" t="n"/>
      <c r="G65" s="81" t="n"/>
      <c r="H65" s="59" t="n"/>
      <c r="I65" s="59" t="n"/>
      <c r="J65" s="59" t="n"/>
    </row>
    <row r="66" ht="22" customHeight="1">
      <c r="B66" s="81" t="n"/>
      <c r="C66" s="81" t="n"/>
      <c r="D66" s="90" t="n"/>
      <c r="E66" s="78" t="inlineStr">
        <is>
          <t>• 详细设计初稿：数据层（四层 + ER 图）</t>
        </is>
      </c>
      <c r="F66" s="81" t="n"/>
      <c r="G66" s="81" t="n"/>
      <c r="H66" s="59" t="n"/>
      <c r="I66" s="59" t="n"/>
      <c r="J66" s="59" t="n"/>
    </row>
    <row r="67" ht="22" customHeight="1">
      <c r="B67" s="81" t="n"/>
      <c r="C67" s="81" t="n"/>
      <c r="D67" s="90" t="n"/>
      <c r="E67" s="78" t="inlineStr">
        <is>
          <t>• Sprint 1 测试报告</t>
        </is>
      </c>
      <c r="F67" s="81" t="n"/>
      <c r="G67" s="81" t="n"/>
      <c r="H67" s="59" t="n"/>
      <c r="I67" s="59" t="n"/>
      <c r="J67" s="59" t="n"/>
    </row>
    <row r="68" ht="22" customHeight="1">
      <c r="A68" s="118" t="inlineStr">
        <is>
          <t>R1</t>
        </is>
      </c>
      <c r="B68" s="92" t="inlineStr">
        <is>
          <t>Sprint 2</t>
        </is>
      </c>
      <c r="C68" s="76" t="inlineStr">
        <is>
          <t>W5</t>
        </is>
      </c>
      <c r="D68" s="77" t="inlineStr">
        <is>
          <t>A·需求(50%)</t>
        </is>
      </c>
      <c r="E68" s="78" t="inlineStr">
        <is>
          <t>• Sprint 4 需求澄清（UAT 场景细化 + 生产迁移窗口）</t>
        </is>
      </c>
      <c r="F68" s="79" t="inlineStr">
        <is>
          <t>S4 需求就绪；Legal Hold 条件</t>
        </is>
      </c>
      <c r="G68" s="80" t="inlineStr">
        <is>
          <t>法务配合</t>
        </is>
      </c>
      <c r="H68" s="59" t="n"/>
      <c r="I68" s="59" t="n"/>
      <c r="J68" s="59" t="n"/>
    </row>
    <row r="69" ht="30" customHeight="1">
      <c r="B69" s="81" t="n"/>
      <c r="C69" s="81" t="n"/>
      <c r="D69" s="82" t="n"/>
      <c r="E69" s="78" t="inlineStr">
        <is>
          <t>• 【03】Legal Hold 触发条件定稿（法务确认：哪些档案可 Hold/谁有权 Hold）</t>
        </is>
      </c>
      <c r="F69" s="81" t="n"/>
      <c r="G69" s="81" t="n"/>
      <c r="H69" s="59" t="n"/>
      <c r="I69" s="59" t="n"/>
      <c r="J69" s="59" t="n"/>
    </row>
    <row r="70" ht="30" customHeight="1">
      <c r="A70" s="118" t="inlineStr">
        <is>
          <t>R1</t>
        </is>
      </c>
      <c r="B70" s="92" t="inlineStr">
        <is>
          <t>Sprint 2</t>
        </is>
      </c>
      <c r="C70" s="76" t="inlineStr">
        <is>
          <t>W5</t>
        </is>
      </c>
      <c r="D70" s="83" t="inlineStr">
        <is>
          <t>B·架构+开发</t>
        </is>
      </c>
      <c r="E70" s="78" t="inlineStr">
        <is>
          <t>• 【03】到期处置引擎①：扫描（retention_assignment 到期计算）→ DROP PARTITION → VACUUM</t>
        </is>
      </c>
      <c r="F70" s="79" t="inlineStr">
        <is>
          <t>处置引擎可跑；Hold 机制可用</t>
        </is>
      </c>
      <c r="G70" s="80" t="inlineStr"/>
      <c r="H70" s="59" t="n"/>
      <c r="I70" s="59" t="n"/>
      <c r="J70" s="59" t="n"/>
    </row>
    <row r="71" ht="22" customHeight="1">
      <c r="B71" s="81" t="n"/>
      <c r="C71" s="81" t="n"/>
      <c r="D71" s="84" t="n"/>
      <c r="E71" s="78" t="inlineStr">
        <is>
          <t>• 【03】Legal Hold②：Hold/Release 机制 + 处置豁免 + 留痕</t>
        </is>
      </c>
      <c r="F71" s="81" t="n"/>
      <c r="G71" s="81" t="n"/>
      <c r="H71" s="59" t="n"/>
      <c r="I71" s="59" t="n"/>
      <c r="J71" s="59" t="n"/>
    </row>
    <row r="72" ht="30" customHeight="1">
      <c r="B72" s="81" t="n"/>
      <c r="C72" s="81" t="n"/>
      <c r="D72" s="84" t="n"/>
      <c r="E72" s="78" t="inlineStr">
        <is>
          <t>• 【04】加密体系③：CMK + aes_encrypt 字段级 + 密钥轮转（Key Vault DEK/KEK）</t>
        </is>
      </c>
      <c r="F72" s="81" t="n"/>
      <c r="G72" s="81" t="n"/>
      <c r="H72" s="59" t="n"/>
      <c r="I72" s="59" t="n"/>
      <c r="J72" s="59" t="n"/>
    </row>
    <row r="73" ht="22" customHeight="1">
      <c r="A73" s="118" t="inlineStr">
        <is>
          <t>R1</t>
        </is>
      </c>
      <c r="B73" s="92" t="inlineStr">
        <is>
          <t>Sprint 2</t>
        </is>
      </c>
      <c r="C73" s="76" t="inlineStr">
        <is>
          <t>W5</t>
        </is>
      </c>
      <c r="D73" s="85" t="inlineStr">
        <is>
          <t>C·数据工程</t>
        </is>
      </c>
      <c r="E73" s="78" t="inlineStr">
        <is>
          <t>• 【02】增量接入：watermark 列方案落地（按 W1 确认的实时指标）</t>
        </is>
      </c>
      <c r="F73" s="79" t="inlineStr">
        <is>
          <t>增量自动入湖；分层生效</t>
        </is>
      </c>
      <c r="G73" s="80" t="inlineStr"/>
      <c r="H73" s="59" t="n"/>
      <c r="I73" s="59" t="n"/>
      <c r="J73" s="59" t="n"/>
    </row>
    <row r="74" ht="22" customHeight="1">
      <c r="B74" s="81" t="n"/>
      <c r="C74" s="81" t="n"/>
      <c r="D74" s="86" t="n"/>
      <c r="E74" s="78" t="inlineStr">
        <is>
          <t>• 【02】冷数据识别与自动转冷（按 A 的冷数据标准：访问频率→分层）</t>
        </is>
      </c>
      <c r="F74" s="81" t="n"/>
      <c r="G74" s="81" t="n"/>
      <c r="H74" s="59" t="n"/>
      <c r="I74" s="59" t="n"/>
      <c r="J74" s="59" t="n"/>
    </row>
    <row r="75" ht="30" customHeight="1">
      <c r="B75" s="81" t="n"/>
      <c r="C75" s="81" t="n"/>
      <c r="D75" s="86" t="n"/>
      <c r="E75" s="78" t="inlineStr">
        <is>
          <t>• 【04】ADLS 冷热分层：生命周期规则（30 天 Cool/90 天 Cold）+ Compaction 调度</t>
        </is>
      </c>
      <c r="F75" s="81" t="n"/>
      <c r="G75" s="81" t="n"/>
      <c r="H75" s="59" t="n"/>
      <c r="I75" s="59" t="n"/>
      <c r="J75" s="59" t="n"/>
    </row>
    <row r="76" ht="22" customHeight="1">
      <c r="A76" s="118" t="inlineStr">
        <is>
          <t>R1</t>
        </is>
      </c>
      <c r="B76" s="92" t="inlineStr">
        <is>
          <t>Sprint 2</t>
        </is>
      </c>
      <c r="C76" s="76" t="inlineStr">
        <is>
          <t>W5</t>
        </is>
      </c>
      <c r="D76" s="87" t="inlineStr">
        <is>
          <t>D·全栈+DevOps</t>
        </is>
      </c>
      <c r="E76" s="78" t="inlineStr">
        <is>
          <t>• 【02】元数据标准管理界面（数据 Owner/来源/命名规范 CRUD）</t>
        </is>
      </c>
      <c r="F76" s="79" t="inlineStr">
        <is>
          <t>元数据界面；安全门禁四道全开</t>
        </is>
      </c>
      <c r="G76" s="80" t="inlineStr"/>
      <c r="H76" s="59" t="n"/>
      <c r="I76" s="59" t="n"/>
      <c r="J76" s="59" t="n"/>
    </row>
    <row r="77" ht="22" customHeight="1">
      <c r="B77" s="81" t="n"/>
      <c r="C77" s="81" t="n"/>
      <c r="D77" s="88" t="n"/>
      <c r="E77" s="78" t="inlineStr">
        <is>
          <t>• 【05】检索完善：动态列/排序/筛选联动 + 权限列隐藏</t>
        </is>
      </c>
      <c r="F77" s="81" t="n"/>
      <c r="G77" s="81" t="n"/>
      <c r="H77" s="59" t="n"/>
      <c r="I77" s="59" t="n"/>
      <c r="J77" s="59" t="n"/>
    </row>
    <row r="78" ht="22" customHeight="1">
      <c r="B78" s="81" t="n"/>
      <c r="C78" s="81" t="n"/>
      <c r="D78" s="88" t="n"/>
      <c r="E78" s="78" t="inlineStr">
        <is>
          <t>• 代码安全③：gitleaks 密钥扫描 + Trivy 镜像扫描进 CI；中危清零</t>
        </is>
      </c>
      <c r="F78" s="81" t="n"/>
      <c r="G78" s="81" t="n"/>
      <c r="H78" s="59" t="n"/>
      <c r="I78" s="59" t="n"/>
      <c r="J78" s="59" t="n"/>
    </row>
    <row r="79" ht="22" customHeight="1">
      <c r="A79" s="118" t="inlineStr">
        <is>
          <t>R1</t>
        </is>
      </c>
      <c r="B79" s="92" t="inlineStr">
        <is>
          <t>Sprint 2</t>
        </is>
      </c>
      <c r="C79" s="76" t="inlineStr">
        <is>
          <t>W5</t>
        </is>
      </c>
      <c r="D79" s="89" t="inlineStr">
        <is>
          <t>E·QA+SLC文档</t>
        </is>
      </c>
      <c r="E79" s="78" t="inlineStr">
        <is>
          <t>• 功能用例扩充（50+：权限三态/增量/处置/Hold/脱敏）</t>
        </is>
      </c>
      <c r="F79" s="79" t="inlineStr">
        <is>
          <t>用例 50+；越权全拦截</t>
        </is>
      </c>
      <c r="G79" s="80" t="inlineStr"/>
      <c r="H79" s="59" t="n"/>
      <c r="I79" s="59" t="n"/>
      <c r="J79" s="59" t="n"/>
    </row>
    <row r="80" ht="22" customHeight="1">
      <c r="B80" s="81" t="n"/>
      <c r="C80" s="81" t="n"/>
      <c r="D80" s="90" t="n"/>
      <c r="E80" s="78" t="inlineStr">
        <is>
          <t>• 安全测试②：掩码旁路 + 越权（垂直/水平）用例 + 修复验证</t>
        </is>
      </c>
      <c r="F80" s="81" t="n"/>
      <c r="G80" s="81" t="n"/>
      <c r="H80" s="59" t="n"/>
      <c r="I80" s="59" t="n"/>
      <c r="J80" s="59" t="n"/>
    </row>
    <row r="81" ht="22" customHeight="1">
      <c r="B81" s="81" t="n"/>
      <c r="C81" s="81" t="n"/>
      <c r="D81" s="90" t="n"/>
      <c r="E81" s="78" t="inlineStr">
        <is>
          <t>• 详细设计初稿：安全层</t>
        </is>
      </c>
      <c r="F81" s="81" t="n"/>
      <c r="G81" s="81" t="n"/>
      <c r="H81" s="59" t="n"/>
      <c r="I81" s="59" t="n"/>
      <c r="J81" s="59" t="n"/>
    </row>
    <row r="82" ht="22" customHeight="1">
      <c r="A82" s="118" t="inlineStr">
        <is>
          <t>R1</t>
        </is>
      </c>
      <c r="B82" s="92" t="inlineStr">
        <is>
          <t>Sprint 2</t>
        </is>
      </c>
      <c r="C82" s="76" t="inlineStr">
        <is>
          <t>W6</t>
        </is>
      </c>
      <c r="D82" s="77" t="inlineStr">
        <is>
          <t>A·需求(50%)</t>
        </is>
      </c>
      <c r="E82" s="78" t="inlineStr">
        <is>
          <t>• 验收 Sprint 2 交付（增量时效/处置链路/脱敏三态）</t>
        </is>
      </c>
      <c r="F82" s="79" t="inlineStr">
        <is>
          <t>S2 验收；全量范围签字</t>
        </is>
      </c>
      <c r="G82" s="80" t="inlineStr"/>
      <c r="H82" s="59" t="n"/>
      <c r="I82" s="59" t="n"/>
      <c r="J82" s="59" t="n"/>
    </row>
    <row r="83" ht="22" customHeight="1">
      <c r="B83" s="81" t="n"/>
      <c r="C83" s="81" t="n"/>
      <c r="D83" s="82" t="n"/>
      <c r="E83" s="78" t="inlineStr">
        <is>
          <t>• CC 全量迁移范围最终确认（600~800 张有效表清单签字）</t>
        </is>
      </c>
      <c r="F83" s="81" t="n"/>
      <c r="G83" s="81" t="n"/>
      <c r="H83" s="59" t="n"/>
      <c r="I83" s="59" t="n"/>
      <c r="J83" s="59" t="n"/>
    </row>
    <row r="84" ht="22" customHeight="1">
      <c r="A84" s="118" t="inlineStr">
        <is>
          <t>R1</t>
        </is>
      </c>
      <c r="B84" s="92" t="inlineStr">
        <is>
          <t>Sprint 2</t>
        </is>
      </c>
      <c r="C84" s="76" t="inlineStr">
        <is>
          <t>W6</t>
        </is>
      </c>
      <c r="D84" s="83" t="inlineStr">
        <is>
          <t>B·架构+开发</t>
        </is>
      </c>
      <c r="E84" s="78" t="inlineStr">
        <is>
          <t>• 【03】标准归档模型管理界面（保管期限表 + 分类模型）</t>
        </is>
      </c>
      <c r="F84" s="79" t="inlineStr">
        <is>
          <t>归档模型可配；驻留核查通过</t>
        </is>
      </c>
      <c r="G84" s="80" t="inlineStr"/>
      <c r="H84" s="59" t="n"/>
      <c r="I84" s="59" t="n"/>
      <c r="J84" s="59" t="n"/>
    </row>
    <row r="85" ht="22" customHeight="1">
      <c r="B85" s="81" t="n"/>
      <c r="C85" s="81" t="n"/>
      <c r="D85" s="84" t="n"/>
      <c r="E85" s="78" t="inlineStr">
        <is>
          <t>• 【04】境内驻留核查②：出口流量管控 + 数据不出境验证用例</t>
        </is>
      </c>
      <c r="F85" s="81" t="n"/>
      <c r="G85" s="81" t="n"/>
      <c r="H85" s="59" t="n"/>
      <c r="I85" s="59" t="n"/>
      <c r="J85" s="59" t="n"/>
    </row>
    <row r="86" ht="22" customHeight="1">
      <c r="B86" s="81" t="n"/>
      <c r="C86" s="81" t="n"/>
      <c r="D86" s="84" t="n"/>
      <c r="E86" s="78" t="inlineStr">
        <is>
          <t>• 前端功能：到期处置与 Legal Hold 审批界面</t>
        </is>
      </c>
      <c r="F86" s="81" t="n"/>
      <c r="G86" s="81" t="n"/>
      <c r="H86" s="59" t="n"/>
      <c r="I86" s="59" t="n"/>
      <c r="J86" s="59" t="n"/>
    </row>
    <row r="87" ht="30" customHeight="1">
      <c r="A87" s="118" t="inlineStr">
        <is>
          <t>R1</t>
        </is>
      </c>
      <c r="B87" s="92" t="inlineStr">
        <is>
          <t>Sprint 2</t>
        </is>
      </c>
      <c r="C87" s="76" t="inlineStr">
        <is>
          <t>W6</t>
        </is>
      </c>
      <c r="D87" s="85" t="inlineStr">
        <is>
          <t>C·数据工程</t>
        </is>
      </c>
      <c r="E87" s="78" t="inlineStr">
        <is>
          <t>• 【03】归档转换校验：CURATED/LAKE 层 Spark SQL + Schema Evolution</t>
        </is>
      </c>
      <c r="F87" s="79" t="inlineStr">
        <is>
          <t>四层全通；增量稳定运行</t>
        </is>
      </c>
      <c r="G87" s="80" t="inlineStr"/>
      <c r="H87" s="59" t="n"/>
      <c r="I87" s="59" t="n"/>
      <c r="J87" s="59" t="n"/>
    </row>
    <row r="88" ht="22" customHeight="1">
      <c r="B88" s="81" t="n"/>
      <c r="C88" s="81" t="n"/>
      <c r="D88" s="86" t="n"/>
      <c r="E88" s="78" t="inlineStr">
        <is>
          <t>• 【02】增量常态化运行（CC 每日增量）</t>
        </is>
      </c>
      <c r="F88" s="81" t="n"/>
      <c r="G88" s="81" t="n"/>
      <c r="H88" s="59" t="n"/>
      <c r="I88" s="59" t="n"/>
      <c r="J88" s="59" t="n"/>
    </row>
    <row r="89" ht="22" customHeight="1">
      <c r="B89" s="81" t="n"/>
      <c r="C89" s="81" t="n"/>
      <c r="D89" s="86" t="n"/>
      <c r="E89" s="78" t="inlineStr">
        <is>
          <t>• 性能优化（文件大小/分区裁剪/查询计划）</t>
        </is>
      </c>
      <c r="F89" s="81" t="n"/>
      <c r="G89" s="81" t="n"/>
      <c r="H89" s="59" t="n"/>
      <c r="I89" s="59" t="n"/>
      <c r="J89" s="59" t="n"/>
    </row>
    <row r="90" ht="22" customHeight="1">
      <c r="A90" s="118" t="inlineStr">
        <is>
          <t>R1</t>
        </is>
      </c>
      <c r="B90" s="92" t="inlineStr">
        <is>
          <t>Sprint 2</t>
        </is>
      </c>
      <c r="C90" s="76" t="inlineStr">
        <is>
          <t>W6</t>
        </is>
      </c>
      <c r="D90" s="87" t="inlineStr">
        <is>
          <t>D·全栈+DevOps</t>
        </is>
      </c>
      <c r="E90" s="78" t="inlineStr">
        <is>
          <t>• 【03】处置/Hold 界面联调</t>
        </is>
      </c>
      <c r="F90" s="79" t="inlineStr">
        <is>
          <t>报表 v1 可用</t>
        </is>
      </c>
      <c r="G90" s="80" t="inlineStr"/>
      <c r="H90" s="59" t="n"/>
      <c r="I90" s="59" t="n"/>
      <c r="J90" s="59" t="n"/>
    </row>
    <row r="91" ht="22" customHeight="1">
      <c r="B91" s="81" t="n"/>
      <c r="C91" s="81" t="n"/>
      <c r="D91" s="88" t="n"/>
      <c r="E91" s="78" t="inlineStr">
        <is>
          <t>• 【06】合规报表 v1 开发（审计查询 + 导出）</t>
        </is>
      </c>
      <c r="F91" s="81" t="n"/>
      <c r="G91" s="81" t="n"/>
      <c r="H91" s="59" t="n"/>
      <c r="I91" s="59" t="n"/>
      <c r="J91" s="59" t="n"/>
    </row>
    <row r="92" ht="22" customHeight="1">
      <c r="B92" s="81" t="n"/>
      <c r="C92" s="81" t="n"/>
      <c r="D92" s="88" t="n"/>
      <c r="E92" s="78" t="inlineStr">
        <is>
          <t>• 性能优化：前端懒加载/虚拟滚动</t>
        </is>
      </c>
      <c r="F92" s="81" t="n"/>
      <c r="G92" s="81" t="n"/>
      <c r="H92" s="59" t="n"/>
      <c r="I92" s="59" t="n"/>
      <c r="J92" s="59" t="n"/>
    </row>
    <row r="93" ht="30" customHeight="1">
      <c r="A93" s="118" t="inlineStr">
        <is>
          <t>R1</t>
        </is>
      </c>
      <c r="B93" s="92" t="inlineStr">
        <is>
          <t>Sprint 2</t>
        </is>
      </c>
      <c r="C93" s="76" t="inlineStr">
        <is>
          <t>W6</t>
        </is>
      </c>
      <c r="D93" s="89" t="inlineStr">
        <is>
          <t>E·QA+SLC文档</t>
        </is>
      </c>
      <c r="E93" s="78" t="inlineStr">
        <is>
          <t>• 【03】处置全链路 E2E：设 1 天保留期 → 到期 → Hold 拦截 → Release → 处置 → 审计</t>
        </is>
      </c>
      <c r="F93" s="79" t="inlineStr">
        <is>
          <t>处置 E2E 通过；合稿</t>
        </is>
      </c>
      <c r="G93" s="80" t="inlineStr">
        <is>
          <t>性能数据由 C 备</t>
        </is>
      </c>
      <c r="H93" s="59" t="n"/>
      <c r="I93" s="59" t="n"/>
      <c r="J93" s="59" t="n"/>
    </row>
    <row r="94" ht="22" customHeight="1">
      <c r="B94" s="81" t="n"/>
      <c r="C94" s="81" t="n"/>
      <c r="D94" s="90" t="n"/>
      <c r="E94" s="78" t="inlineStr">
        <is>
          <t>• 性能测试（100 万行 P95&lt;5s）</t>
        </is>
      </c>
      <c r="F94" s="81" t="n"/>
      <c r="G94" s="81" t="n"/>
      <c r="H94" s="59" t="n"/>
      <c r="I94" s="59" t="n"/>
      <c r="J94" s="59" t="n"/>
    </row>
    <row r="95" ht="22" customHeight="1">
      <c r="B95" s="81" t="n"/>
      <c r="C95" s="81" t="n"/>
      <c r="D95" s="90" t="n"/>
      <c r="E95" s="78" t="inlineStr">
        <is>
          <t>• 安全修复回归 + 详细设计三模块合稿</t>
        </is>
      </c>
      <c r="F95" s="81" t="n"/>
      <c r="G95" s="81" t="n"/>
      <c r="H95" s="59" t="n"/>
      <c r="I95" s="59" t="n"/>
      <c r="J95" s="59" t="n"/>
    </row>
    <row r="96" ht="22" customHeight="1">
      <c r="B96" s="81" t="n"/>
      <c r="C96" s="81" t="n"/>
      <c r="D96" s="90" t="n"/>
      <c r="E96" s="78" t="inlineStr">
        <is>
          <t>• Sprint 2 测试报告</t>
        </is>
      </c>
      <c r="F96" s="81" t="n"/>
      <c r="G96" s="81" t="n"/>
      <c r="H96" s="59" t="n"/>
      <c r="I96" s="59" t="n"/>
      <c r="J96" s="59" t="n"/>
    </row>
    <row r="97" ht="22" customHeight="1">
      <c r="A97" s="118" t="inlineStr">
        <is>
          <t>R1</t>
        </is>
      </c>
      <c r="B97" s="93" t="inlineStr">
        <is>
          <t>Sprint 3</t>
        </is>
      </c>
      <c r="C97" s="76" t="inlineStr">
        <is>
          <t>W7</t>
        </is>
      </c>
      <c r="D97" s="77" t="inlineStr">
        <is>
          <t>A·需求(50%)</t>
        </is>
      </c>
      <c r="E97" s="78" t="inlineStr">
        <is>
          <t>• CC 全量迁移进度跟踪 + 范围变更裁决</t>
        </is>
      </c>
      <c r="F97" s="79" t="inlineStr">
        <is>
          <t>范围冻结；报表口径确认</t>
        </is>
      </c>
      <c r="G97" s="80" t="inlineStr"/>
      <c r="H97" s="59" t="n"/>
      <c r="I97" s="59" t="n"/>
      <c r="J97" s="59" t="n"/>
    </row>
    <row r="98" ht="22" customHeight="1">
      <c r="B98" s="81" t="n"/>
      <c r="C98" s="81" t="n"/>
      <c r="D98" s="82" t="n"/>
      <c r="E98" s="78" t="inlineStr">
        <is>
          <t>• 合规报表口径与法务对齐（等保/个保法条目映射）</t>
        </is>
      </c>
      <c r="F98" s="81" t="n"/>
      <c r="G98" s="81" t="n"/>
      <c r="H98" s="59" t="n"/>
      <c r="I98" s="59" t="n"/>
      <c r="J98" s="59" t="n"/>
    </row>
    <row r="99" ht="22" customHeight="1">
      <c r="A99" s="118" t="inlineStr">
        <is>
          <t>R1</t>
        </is>
      </c>
      <c r="B99" s="93" t="inlineStr">
        <is>
          <t>Sprint 3</t>
        </is>
      </c>
      <c r="C99" s="76" t="inlineStr">
        <is>
          <t>W7</t>
        </is>
      </c>
      <c r="D99" s="83" t="inlineStr">
        <is>
          <t>B·架构+开发</t>
        </is>
      </c>
      <c r="E99" s="78" t="inlineStr">
        <is>
          <t>• CC 全量迁移技术指挥（分批策略/失败重跑/优先级）</t>
        </is>
      </c>
      <c r="F99" s="79" t="inlineStr">
        <is>
          <t>全量迁移启动；隔离验证通过</t>
        </is>
      </c>
      <c r="G99" s="80" t="inlineStr"/>
      <c r="H99" s="59" t="n"/>
      <c r="I99" s="59" t="n"/>
      <c r="J99" s="59" t="n"/>
    </row>
    <row r="100" ht="22" customHeight="1">
      <c r="B100" s="81" t="n"/>
      <c r="C100" s="81" t="n"/>
      <c r="D100" s="84" t="n"/>
      <c r="E100" s="78" t="inlineStr">
        <is>
          <t>• 【07】连接器架构评审（模板化扩展性）</t>
        </is>
      </c>
      <c r="F100" s="81" t="n"/>
      <c r="G100" s="81" t="n"/>
      <c r="H100" s="59" t="n"/>
      <c r="I100" s="59" t="n"/>
      <c r="J100" s="59" t="n"/>
    </row>
    <row r="101" ht="22" customHeight="1">
      <c r="B101" s="81" t="n"/>
      <c r="C101" s="81" t="n"/>
      <c r="D101" s="84" t="n"/>
      <c r="E101" s="78" t="inlineStr">
        <is>
          <t>• 【08】行级隔离验证（越权测试全过）</t>
        </is>
      </c>
      <c r="F101" s="81" t="n"/>
      <c r="G101" s="81" t="n"/>
      <c r="H101" s="59" t="n"/>
      <c r="I101" s="59" t="n"/>
      <c r="J101" s="59" t="n"/>
    </row>
    <row r="102" ht="30" customHeight="1">
      <c r="A102" s="118" t="inlineStr">
        <is>
          <t>R1</t>
        </is>
      </c>
      <c r="B102" s="93" t="inlineStr">
        <is>
          <t>Sprint 3</t>
        </is>
      </c>
      <c r="C102" s="76" t="inlineStr">
        <is>
          <t>W7</t>
        </is>
      </c>
      <c r="D102" s="85" t="inlineStr">
        <is>
          <t>C·数据工程</t>
        </is>
      </c>
      <c r="E102" s="78" t="inlineStr">
        <is>
          <t>• 【01】CC 全量 1253 表分批迁移（剔除垃圾表后约 600~800 张，分 5~8 批）</t>
        </is>
      </c>
      <c r="F102" s="79" t="inlineStr">
        <is>
          <t>全量迁移过半；模板库 v2</t>
        </is>
      </c>
      <c r="G102" s="80" t="inlineStr">
        <is>
          <t>CC 数据量（sp_spaceused）</t>
        </is>
      </c>
      <c r="H102" s="59" t="n"/>
      <c r="I102" s="59" t="n"/>
      <c r="J102" s="59" t="n"/>
    </row>
    <row r="103" ht="22" customHeight="1">
      <c r="B103" s="81" t="n"/>
      <c r="C103" s="81" t="n"/>
      <c r="D103" s="86" t="n"/>
      <c r="E103" s="78" t="inlineStr">
        <is>
          <t>• 【07】连接器模板库扩展：MySQL 类型映射 + 文件源模板</t>
        </is>
      </c>
      <c r="F103" s="81" t="n"/>
      <c r="G103" s="81" t="n"/>
      <c r="H103" s="59" t="n"/>
      <c r="I103" s="59" t="n"/>
      <c r="J103" s="59" t="n"/>
    </row>
    <row r="104" ht="22" customHeight="1">
      <c r="B104" s="81" t="n"/>
      <c r="C104" s="81" t="n"/>
      <c r="D104" s="86" t="n"/>
      <c r="E104" s="78" t="inlineStr">
        <is>
          <t>• 【07】连接器运行监控与审计上报</t>
        </is>
      </c>
      <c r="F104" s="81" t="n"/>
      <c r="G104" s="81" t="n"/>
      <c r="H104" s="59" t="n"/>
      <c r="I104" s="59" t="n"/>
      <c r="J104" s="59" t="n"/>
    </row>
    <row r="105" ht="22" customHeight="1">
      <c r="A105" s="118" t="inlineStr">
        <is>
          <t>R1</t>
        </is>
      </c>
      <c r="B105" s="93" t="inlineStr">
        <is>
          <t>Sprint 3</t>
        </is>
      </c>
      <c r="C105" s="76" t="inlineStr">
        <is>
          <t>W7</t>
        </is>
      </c>
      <c r="D105" s="87" t="inlineStr">
        <is>
          <t>D·全栈+DevOps</t>
        </is>
      </c>
      <c r="E105" s="78" t="inlineStr">
        <is>
          <t>• 【07】多源连接管理界面（配置/测试连接/模板选择/状态监控）</t>
        </is>
      </c>
      <c r="F105" s="79" t="inlineStr">
        <is>
          <t>连接管理可用；报表完善</t>
        </is>
      </c>
      <c r="G105" s="80" t="inlineStr"/>
      <c r="H105" s="59" t="n"/>
      <c r="I105" s="59" t="n"/>
      <c r="J105" s="59" t="n"/>
    </row>
    <row r="106" ht="22" customHeight="1">
      <c r="B106" s="81" t="n"/>
      <c r="C106" s="81" t="n"/>
      <c r="D106" s="88" t="n"/>
      <c r="E106" s="78" t="inlineStr">
        <is>
          <t>• 【06】合规报表完善（等保/个保法对照视图 + 一键导出）</t>
        </is>
      </c>
      <c r="F106" s="81" t="n"/>
      <c r="G106" s="81" t="n"/>
      <c r="H106" s="59" t="n"/>
      <c r="I106" s="59" t="n"/>
      <c r="J106" s="59" t="n"/>
    </row>
    <row r="107" ht="22" customHeight="1">
      <c r="A107" s="118" t="inlineStr">
        <is>
          <t>R1</t>
        </is>
      </c>
      <c r="B107" s="93" t="inlineStr">
        <is>
          <t>Sprint 3</t>
        </is>
      </c>
      <c r="C107" s="76" t="inlineStr">
        <is>
          <t>W7</t>
        </is>
      </c>
      <c r="D107" s="89" t="inlineStr">
        <is>
          <t>E·QA+SLC文档</t>
        </is>
      </c>
      <c r="E107" s="78" t="inlineStr">
        <is>
          <t>• 【07】连接器兼容性测试（SQL Server/MySQL 逐版本矩阵）</t>
        </is>
      </c>
      <c r="F107" s="79" t="inlineStr">
        <is>
          <t>兼容矩阵；手册 50%</t>
        </is>
      </c>
      <c r="G107" s="80" t="inlineStr"/>
      <c r="H107" s="59" t="n"/>
      <c r="I107" s="59" t="n"/>
      <c r="J107" s="59" t="n"/>
    </row>
    <row r="108" ht="22" customHeight="1">
      <c r="B108" s="81" t="n"/>
      <c r="C108" s="81" t="n"/>
      <c r="D108" s="90" t="n"/>
      <c r="E108" s="78" t="inlineStr">
        <is>
          <t>• 【06】合规报表口径验证（可举证性：谁在何时查了什么）</t>
        </is>
      </c>
      <c r="F108" s="81" t="n"/>
      <c r="G108" s="81" t="n"/>
      <c r="H108" s="59" t="n"/>
      <c r="I108" s="59" t="n"/>
      <c r="J108" s="59" t="n"/>
    </row>
    <row r="109" ht="22" customHeight="1">
      <c r="B109" s="81" t="n"/>
      <c r="C109" s="81" t="n"/>
      <c r="D109" s="90" t="n"/>
      <c r="E109" s="78" t="inlineStr">
        <is>
          <t>• 用户手册初稿（50%，按 8 域组织）</t>
        </is>
      </c>
      <c r="F109" s="81" t="n"/>
      <c r="G109" s="81" t="n"/>
      <c r="H109" s="59" t="n"/>
      <c r="I109" s="59" t="n"/>
      <c r="J109" s="59" t="n"/>
    </row>
    <row r="110" ht="22" customHeight="1">
      <c r="A110" s="118" t="inlineStr">
        <is>
          <t>R1</t>
        </is>
      </c>
      <c r="B110" s="93" t="inlineStr">
        <is>
          <t>Sprint 3</t>
        </is>
      </c>
      <c r="C110" s="76" t="inlineStr">
        <is>
          <t>W8</t>
        </is>
      </c>
      <c r="D110" s="77" t="inlineStr">
        <is>
          <t>A·需求(50%)</t>
        </is>
      </c>
      <c r="E110" s="78" t="inlineStr">
        <is>
          <t>• 验收 Sprint 3 交付（全量对账/连接器演示/报表）</t>
        </is>
      </c>
      <c r="F110" s="79" t="inlineStr">
        <is>
          <t>S3 验收；UAT 脚本定稿</t>
        </is>
      </c>
      <c r="G110" s="80" t="inlineStr"/>
      <c r="H110" s="59" t="n"/>
      <c r="I110" s="59" t="n"/>
      <c r="J110" s="59" t="n"/>
    </row>
    <row r="111" ht="22" customHeight="1">
      <c r="B111" s="81" t="n"/>
      <c r="C111" s="81" t="n"/>
      <c r="D111" s="82" t="n"/>
      <c r="E111" s="78" t="inlineStr">
        <is>
          <t>• UAT 场景脚本定稿（8 域场景）</t>
        </is>
      </c>
      <c r="F111" s="81" t="n"/>
      <c r="G111" s="81" t="n"/>
      <c r="H111" s="59" t="n"/>
      <c r="I111" s="59" t="n"/>
      <c r="J111" s="59" t="n"/>
    </row>
    <row r="112" ht="22" customHeight="1">
      <c r="A112" s="118" t="inlineStr">
        <is>
          <t>R1</t>
        </is>
      </c>
      <c r="B112" s="93" t="inlineStr">
        <is>
          <t>Sprint 3</t>
        </is>
      </c>
      <c r="C112" s="76" t="inlineStr">
        <is>
          <t>W8</t>
        </is>
      </c>
      <c r="D112" s="83" t="inlineStr">
        <is>
          <t>B·架构+开发</t>
        </is>
      </c>
      <c r="E112" s="78" t="inlineStr">
        <is>
          <t>• CC 全量迁移收尾 + 对账复核</t>
        </is>
      </c>
      <c r="F112" s="79" t="inlineStr">
        <is>
          <t>全量对账 100%；生产包就绪</t>
        </is>
      </c>
      <c r="G112" s="80" t="inlineStr"/>
      <c r="H112" s="59" t="n"/>
      <c r="I112" s="59" t="n"/>
      <c r="J112" s="59" t="n"/>
    </row>
    <row r="113" ht="22" customHeight="1">
      <c r="B113" s="81" t="n"/>
      <c r="C113" s="81" t="n"/>
      <c r="D113" s="84" t="n"/>
      <c r="E113" s="78" t="inlineStr">
        <is>
          <t>• 生产发布准备：Helm values + UC 权限/掩码/生命周期/驻留 生产版脚本</t>
        </is>
      </c>
      <c r="F113" s="81" t="n"/>
      <c r="G113" s="81" t="n"/>
      <c r="H113" s="59" t="n"/>
      <c r="I113" s="59" t="n"/>
      <c r="J113" s="59" t="n"/>
    </row>
    <row r="114" ht="22" customHeight="1">
      <c r="A114" s="118" t="inlineStr">
        <is>
          <t>R1</t>
        </is>
      </c>
      <c r="B114" s="93" t="inlineStr">
        <is>
          <t>Sprint 3</t>
        </is>
      </c>
      <c r="C114" s="76" t="inlineStr">
        <is>
          <t>W8</t>
        </is>
      </c>
      <c r="D114" s="85" t="inlineStr">
        <is>
          <t>C·数据工程</t>
        </is>
      </c>
      <c r="E114" s="78" t="inlineStr">
        <is>
          <t>• CC 全量迁移完成 + 全量对账报告</t>
        </is>
      </c>
      <c r="F114" s="79" t="inlineStr">
        <is>
          <t>全量对账 100% 报告</t>
        </is>
      </c>
      <c r="G114" s="80" t="inlineStr"/>
      <c r="H114" s="59" t="n"/>
      <c r="I114" s="59" t="n"/>
      <c r="J114" s="59" t="n"/>
    </row>
    <row r="115" ht="22" customHeight="1">
      <c r="B115" s="81" t="n"/>
      <c r="C115" s="81" t="n"/>
      <c r="D115" s="86" t="n"/>
      <c r="E115" s="78" t="inlineStr">
        <is>
          <t>• 生产 Jobs 准备（增量/Compaction/处置 生产版）</t>
        </is>
      </c>
      <c r="F115" s="81" t="n"/>
      <c r="G115" s="81" t="n"/>
      <c r="H115" s="59" t="n"/>
      <c r="I115" s="59" t="n"/>
      <c r="J115" s="59" t="n"/>
    </row>
    <row r="116" ht="22" customHeight="1">
      <c r="B116" s="81" t="n"/>
      <c r="C116" s="81" t="n"/>
      <c r="D116" s="86" t="n"/>
      <c r="E116" s="78" t="inlineStr">
        <is>
          <t>• 增量链路稳定性加固（重试/告警）</t>
        </is>
      </c>
      <c r="F116" s="81" t="n"/>
      <c r="G116" s="81" t="n"/>
      <c r="H116" s="59" t="n"/>
      <c r="I116" s="59" t="n"/>
      <c r="J116" s="59" t="n"/>
    </row>
    <row r="117" ht="22" customHeight="1">
      <c r="A117" s="118" t="inlineStr">
        <is>
          <t>R1</t>
        </is>
      </c>
      <c r="B117" s="93" t="inlineStr">
        <is>
          <t>Sprint 3</t>
        </is>
      </c>
      <c r="C117" s="76" t="inlineStr">
        <is>
          <t>W8</t>
        </is>
      </c>
      <c r="D117" s="87" t="inlineStr">
        <is>
          <t>D·全栈+DevOps</t>
        </is>
      </c>
      <c r="E117" s="78" t="inlineStr">
        <is>
          <t>• 全量回归测试支持 + Bug 修复</t>
        </is>
      </c>
      <c r="F117" s="79" t="inlineStr">
        <is>
          <t>回归通过；监控就绪</t>
        </is>
      </c>
      <c r="G117" s="80" t="inlineStr"/>
      <c r="H117" s="59" t="n"/>
      <c r="I117" s="59" t="n"/>
      <c r="J117" s="59" t="n"/>
    </row>
    <row r="118" ht="22" customHeight="1">
      <c r="B118" s="81" t="n"/>
      <c r="C118" s="81" t="n"/>
      <c r="D118" s="88" t="n"/>
      <c r="E118" s="78" t="inlineStr">
        <is>
          <t>• 生产监控接入（App Insights + 告警规则）</t>
        </is>
      </c>
      <c r="F118" s="81" t="n"/>
      <c r="G118" s="81" t="n"/>
      <c r="H118" s="59" t="n"/>
      <c r="I118" s="59" t="n"/>
      <c r="J118" s="59" t="n"/>
    </row>
    <row r="119" ht="22" customHeight="1">
      <c r="B119" s="81" t="n"/>
      <c r="C119" s="81" t="n"/>
      <c r="D119" s="88" t="n"/>
      <c r="E119" s="78" t="inlineStr">
        <is>
          <t>• 安全回归：新增代码扫描全过 + CVE 清单处理</t>
        </is>
      </c>
      <c r="F119" s="81" t="n"/>
      <c r="G119" s="81" t="n"/>
      <c r="H119" s="59" t="n"/>
      <c r="I119" s="59" t="n"/>
      <c r="J119" s="59" t="n"/>
    </row>
    <row r="120" ht="22" customHeight="1">
      <c r="A120" s="118" t="inlineStr">
        <is>
          <t>R1</t>
        </is>
      </c>
      <c r="B120" s="93" t="inlineStr">
        <is>
          <t>Sprint 3</t>
        </is>
      </c>
      <c r="C120" s="76" t="inlineStr">
        <is>
          <t>W8</t>
        </is>
      </c>
      <c r="D120" s="89" t="inlineStr">
        <is>
          <t>E·QA+SLC文档</t>
        </is>
      </c>
      <c r="E120" s="78" t="inlineStr">
        <is>
          <t>• 全量回归测试（S1~S3 全功能）</t>
        </is>
      </c>
      <c r="F120" s="79" t="inlineStr">
        <is>
          <t>回归全过；字典/运维初稿</t>
        </is>
      </c>
      <c r="G120" s="80" t="inlineStr"/>
      <c r="H120" s="59" t="n"/>
      <c r="I120" s="59" t="n"/>
      <c r="J120" s="59" t="n"/>
    </row>
    <row r="121" ht="22" customHeight="1">
      <c r="B121" s="81" t="n"/>
      <c r="C121" s="81" t="n"/>
      <c r="D121" s="90" t="n"/>
      <c r="E121" s="78" t="inlineStr">
        <is>
          <t>• 性能测试（20GB P95&lt;5s）</t>
        </is>
      </c>
      <c r="F121" s="81" t="n"/>
      <c r="G121" s="81" t="n"/>
      <c r="H121" s="59" t="n"/>
      <c r="I121" s="59" t="n"/>
      <c r="J121" s="59" t="n"/>
    </row>
    <row r="122" ht="22" customHeight="1">
      <c r="B122" s="81" t="n"/>
      <c r="C122" s="81" t="n"/>
      <c r="D122" s="90" t="n"/>
      <c r="E122" s="78" t="inlineStr">
        <is>
          <t>• 数据字典初稿 + 运维手册初稿</t>
        </is>
      </c>
      <c r="F122" s="81" t="n"/>
      <c r="G122" s="81" t="n"/>
      <c r="H122" s="59" t="n"/>
      <c r="I122" s="59" t="n"/>
      <c r="J122" s="59" t="n"/>
    </row>
    <row r="123" ht="22" customHeight="1">
      <c r="B123" s="81" t="n"/>
      <c r="C123" s="81" t="n"/>
      <c r="D123" s="90" t="n"/>
      <c r="E123" s="78" t="inlineStr">
        <is>
          <t>• Sprint 3 测试报告</t>
        </is>
      </c>
      <c r="F123" s="81" t="n"/>
      <c r="G123" s="81" t="n"/>
      <c r="H123" s="59" t="n"/>
      <c r="I123" s="59" t="n"/>
      <c r="J123" s="59" t="n"/>
    </row>
    <row r="124" ht="22" customHeight="1">
      <c r="A124" s="118" t="inlineStr">
        <is>
          <t>R1</t>
        </is>
      </c>
      <c r="B124" s="94" t="inlineStr">
        <is>
          <t>Sprint 4</t>
        </is>
      </c>
      <c r="C124" s="76" t="inlineStr">
        <is>
          <t>W9</t>
        </is>
      </c>
      <c r="D124" s="77" t="inlineStr">
        <is>
          <t>A·需求(50%)</t>
        </is>
      </c>
      <c r="E124" s="78" t="inlineStr">
        <is>
          <t>• 功能验收收口（S1~S4 用户故事全覆盖核对）</t>
        </is>
      </c>
      <c r="F124" s="119" t="inlineStr">
        <is>
          <t>功能验收清单 100%</t>
        </is>
      </c>
      <c r="G124" s="80" t="inlineStr"/>
      <c r="H124" s="59" t="n"/>
      <c r="I124" s="59" t="n"/>
      <c r="J124" s="59" t="n"/>
    </row>
    <row r="125" ht="22" customHeight="1">
      <c r="B125" s="120" t="n"/>
      <c r="C125" s="120" t="n"/>
      <c r="D125" s="121" t="n"/>
      <c r="E125" s="78" t="inlineStr">
        <is>
          <t>• 生产迁移范围最终确认（含增量基线）</t>
        </is>
      </c>
      <c r="F125" s="120" t="n"/>
      <c r="G125" s="120" t="n"/>
      <c r="H125" s="59" t="n"/>
      <c r="I125" s="59" t="n"/>
      <c r="J125" s="59" t="n"/>
    </row>
    <row r="126" ht="30" customHeight="1">
      <c r="A126" s="118" t="inlineStr">
        <is>
          <t>R1</t>
        </is>
      </c>
      <c r="B126" s="94" t="inlineStr">
        <is>
          <t>Sprint 4</t>
        </is>
      </c>
      <c r="C126" s="76" t="inlineStr">
        <is>
          <t>W9</t>
        </is>
      </c>
      <c r="D126" s="83" t="inlineStr">
        <is>
          <t>B·架构+开发</t>
        </is>
      </c>
      <c r="E126" s="78" t="inlineStr">
        <is>
          <t>• 🤖 生产发布包：Helm 生产 values + UC 权限/掩码/生命周期/驻留 生产脚本（一键发布就绪）</t>
        </is>
      </c>
      <c r="F126" s="119" t="inlineStr">
        <is>
          <t>发布包就绪；回退演练通过</t>
        </is>
      </c>
      <c r="G126" s="80" t="inlineStr"/>
      <c r="H126" s="59" t="n"/>
      <c r="I126" s="59" t="n"/>
      <c r="J126" s="59" t="n"/>
    </row>
    <row r="127" ht="22" customHeight="1">
      <c r="B127" s="120" t="n"/>
      <c r="C127" s="120" t="n"/>
      <c r="D127" s="122" t="n"/>
      <c r="E127" s="78" t="inlineStr">
        <is>
          <t>• 回退预案制定与演练（发布回滚 + UC 配置回滚）</t>
        </is>
      </c>
      <c r="F127" s="120" t="n"/>
      <c r="G127" s="120" t="n"/>
      <c r="H127" s="59" t="n"/>
      <c r="I127" s="59" t="n"/>
      <c r="J127" s="59" t="n"/>
    </row>
    <row r="128" ht="22" customHeight="1">
      <c r="A128" s="118" t="inlineStr">
        <is>
          <t>R1</t>
        </is>
      </c>
      <c r="B128" s="94" t="inlineStr">
        <is>
          <t>Sprint 4</t>
        </is>
      </c>
      <c r="C128" s="76" t="inlineStr">
        <is>
          <t>W9</t>
        </is>
      </c>
      <c r="D128" s="85" t="inlineStr">
        <is>
          <t>C·数据工程</t>
        </is>
      </c>
      <c r="E128" s="78" t="inlineStr">
        <is>
          <t>• 【01】CC 全量迁移预跑（Staging 全量或大样本批次，验证时长与失败率）</t>
        </is>
      </c>
      <c r="F128" s="119" t="inlineStr">
        <is>
          <t>预跑完成；Runbook 定稿</t>
        </is>
      </c>
      <c r="G128" s="80" t="inlineStr">
        <is>
          <t>生产窗口审批</t>
        </is>
      </c>
      <c r="H128" s="59" t="n"/>
      <c r="I128" s="59" t="n"/>
      <c r="J128" s="59" t="n"/>
    </row>
    <row r="129" ht="22" customHeight="1">
      <c r="B129" s="120" t="n"/>
      <c r="C129" s="120" t="n"/>
      <c r="D129" s="123" t="n"/>
      <c r="E129" s="78" t="inlineStr">
        <is>
          <t>• 生产迁移窗口预约（W10 晚或 W11 周末）+ 迁移 Runbook</t>
        </is>
      </c>
      <c r="F129" s="120" t="n"/>
      <c r="G129" s="120" t="n"/>
      <c r="H129" s="59" t="n"/>
      <c r="I129" s="59" t="n"/>
      <c r="J129" s="59" t="n"/>
    </row>
    <row r="130" ht="22" customHeight="1">
      <c r="B130" s="120" t="n"/>
      <c r="C130" s="120" t="n"/>
      <c r="D130" s="123" t="n"/>
      <c r="E130" s="78" t="inlineStr">
        <is>
          <t>• 增量链路稳定性加固（重试/告警/幂等）</t>
        </is>
      </c>
      <c r="F130" s="120" t="n"/>
      <c r="G130" s="120" t="n"/>
      <c r="H130" s="59" t="n"/>
      <c r="I130" s="59" t="n"/>
      <c r="J130" s="59" t="n"/>
    </row>
    <row r="131" ht="22" customHeight="1">
      <c r="A131" s="118" t="inlineStr">
        <is>
          <t>R1</t>
        </is>
      </c>
      <c r="B131" s="94" t="inlineStr">
        <is>
          <t>Sprint 4</t>
        </is>
      </c>
      <c r="C131" s="76" t="inlineStr">
        <is>
          <t>W9</t>
        </is>
      </c>
      <c r="D131" s="87" t="inlineStr">
        <is>
          <t>D·全栈+DevOps</t>
        </is>
      </c>
      <c r="E131" s="78" t="inlineStr">
        <is>
          <t>• 安全终检：四道门禁生产版全过（SAST/依赖/密钥/镜像）+ 渗透测试配合</t>
        </is>
      </c>
      <c r="F131" s="119" t="inlineStr">
        <is>
          <t>安全终检通过；监控就绪</t>
        </is>
      </c>
      <c r="G131" s="80" t="inlineStr">
        <is>
          <t>渗透测试排期</t>
        </is>
      </c>
      <c r="H131" s="59" t="n"/>
      <c r="I131" s="59" t="n"/>
      <c r="J131" s="59" t="n"/>
    </row>
    <row r="132" ht="22" customHeight="1">
      <c r="B132" s="120" t="n"/>
      <c r="C132" s="120" t="n"/>
      <c r="D132" s="124" t="n"/>
      <c r="E132" s="78" t="inlineStr">
        <is>
          <t>• 生产监控告警就绪（App Insights + 告警规则 + Dashboard）</t>
        </is>
      </c>
      <c r="F132" s="120" t="n"/>
      <c r="G132" s="120" t="n"/>
      <c r="H132" s="59" t="n"/>
      <c r="I132" s="59" t="n"/>
      <c r="J132" s="59" t="n"/>
    </row>
    <row r="133" ht="22" customHeight="1">
      <c r="B133" s="120" t="n"/>
      <c r="C133" s="120" t="n"/>
      <c r="D133" s="124" t="n"/>
      <c r="E133" s="78" t="inlineStr">
        <is>
          <t>• 功能打磨：性能优化 + 遗留 Bug 清零</t>
        </is>
      </c>
      <c r="F133" s="120" t="n"/>
      <c r="G133" s="120" t="n"/>
      <c r="H133" s="59" t="n"/>
      <c r="I133" s="59" t="n"/>
      <c r="J133" s="59" t="n"/>
    </row>
    <row r="134" ht="22" customHeight="1">
      <c r="A134" s="118" t="inlineStr">
        <is>
          <t>R1</t>
        </is>
      </c>
      <c r="B134" s="94" t="inlineStr">
        <is>
          <t>Sprint 4</t>
        </is>
      </c>
      <c r="C134" s="76" t="inlineStr">
        <is>
          <t>W9</t>
        </is>
      </c>
      <c r="D134" s="89" t="inlineStr">
        <is>
          <t>E·QA+SLC文档</t>
        </is>
      </c>
      <c r="E134" s="78" t="inlineStr">
        <is>
          <t>• 文档 80%：用户手册/运维手册/数据字典/架构图更新到实际部署</t>
        </is>
      </c>
      <c r="F134" s="119" t="inlineStr">
        <is>
          <t>文档 80%；材料初稿；UAT 脚本 v2</t>
        </is>
      </c>
      <c r="G134" s="80" t="inlineStr"/>
      <c r="H134" s="59" t="n"/>
      <c r="I134" s="59" t="n"/>
      <c r="J134" s="59" t="n"/>
    </row>
    <row r="135" ht="22" customHeight="1">
      <c r="B135" s="120" t="n"/>
      <c r="C135" s="120" t="n"/>
      <c r="D135" s="125" t="n"/>
      <c r="E135" s="78" t="inlineStr">
        <is>
          <t>• 🤖 审批材料起稿（技术方案/安全评估/合规对照）</t>
        </is>
      </c>
      <c r="F135" s="120" t="n"/>
      <c r="G135" s="120" t="n"/>
      <c r="H135" s="59" t="n"/>
      <c r="I135" s="59" t="n"/>
      <c r="J135" s="59" t="n"/>
    </row>
    <row r="136" ht="22" customHeight="1">
      <c r="B136" s="120" t="n"/>
      <c r="C136" s="120" t="n"/>
      <c r="D136" s="125" t="n"/>
      <c r="E136" s="78" t="inlineStr">
        <is>
          <t>• UAT 脚本 v2（8 域场景细化到操作步骤）</t>
        </is>
      </c>
      <c r="F136" s="120" t="n"/>
      <c r="G136" s="120" t="n"/>
      <c r="H136" s="59" t="n"/>
      <c r="I136" s="59" t="n"/>
      <c r="J136" s="59" t="n"/>
    </row>
    <row r="137" ht="22" customHeight="1">
      <c r="A137" s="118" t="inlineStr">
        <is>
          <t>R1</t>
        </is>
      </c>
      <c r="B137" s="94" t="inlineStr">
        <is>
          <t>Sprint 4</t>
        </is>
      </c>
      <c r="C137" s="76" t="inlineStr">
        <is>
          <t>W10</t>
        </is>
      </c>
      <c r="D137" s="77" t="inlineStr">
        <is>
          <t>A·需求(50%)</t>
        </is>
      </c>
      <c r="E137" s="78" t="inlineStr">
        <is>
          <t>• UAT 预演主持（Staging 8 域走查，业务方提前介入）</t>
        </is>
      </c>
      <c r="F137" s="119" t="inlineStr">
        <is>
          <t>预演完成；反馈清单</t>
        </is>
      </c>
      <c r="G137" s="80" t="inlineStr">
        <is>
          <t>业务方预演排期</t>
        </is>
      </c>
      <c r="H137" s="59" t="n"/>
      <c r="I137" s="59" t="n"/>
      <c r="J137" s="59" t="n"/>
    </row>
    <row r="138" ht="22" customHeight="1">
      <c r="B138" s="120" t="n"/>
      <c r="C138" s="120" t="n"/>
      <c r="D138" s="121" t="n"/>
      <c r="E138" s="78" t="inlineStr">
        <is>
          <t>• UAT 反馈预分类（可修/可延/争议项裁决）</t>
        </is>
      </c>
      <c r="F138" s="120" t="n"/>
      <c r="G138" s="120" t="n"/>
      <c r="H138" s="59" t="n"/>
      <c r="I138" s="59" t="n"/>
      <c r="J138" s="59" t="n"/>
    </row>
    <row r="139" ht="22" customHeight="1">
      <c r="A139" s="118" t="inlineStr">
        <is>
          <t>R1</t>
        </is>
      </c>
      <c r="B139" s="94" t="inlineStr">
        <is>
          <t>Sprint 4</t>
        </is>
      </c>
      <c r="C139" s="76" t="inlineStr">
        <is>
          <t>W10</t>
        </is>
      </c>
      <c r="D139" s="83" t="inlineStr">
        <is>
          <t>B·架构+开发</t>
        </is>
      </c>
      <c r="E139" s="78" t="inlineStr">
        <is>
          <t>• 预演问题修复（权限/处置/驻留相关）</t>
        </is>
      </c>
      <c r="F139" s="119" t="inlineStr">
        <is>
          <t>预演问题关闭；发布包冻结</t>
        </is>
      </c>
      <c r="G139" s="80" t="inlineStr"/>
      <c r="H139" s="59" t="n"/>
      <c r="I139" s="59" t="n"/>
      <c r="J139" s="59" t="n"/>
    </row>
    <row r="140" ht="22" customHeight="1">
      <c r="B140" s="120" t="n"/>
      <c r="C140" s="120" t="n"/>
      <c r="D140" s="122" t="n"/>
      <c r="E140" s="78" t="inlineStr">
        <is>
          <t>• 发布包冻结（W10 末起只修 P0/P1，不再加功能）</t>
        </is>
      </c>
      <c r="F140" s="120" t="n"/>
      <c r="G140" s="120" t="n"/>
      <c r="H140" s="59" t="n"/>
      <c r="I140" s="59" t="n"/>
      <c r="J140" s="59" t="n"/>
    </row>
    <row r="141" ht="22" customHeight="1">
      <c r="A141" s="118" t="inlineStr">
        <is>
          <t>R1</t>
        </is>
      </c>
      <c r="B141" s="94" t="inlineStr">
        <is>
          <t>Sprint 4</t>
        </is>
      </c>
      <c r="C141" s="76" t="inlineStr">
        <is>
          <t>W10</t>
        </is>
      </c>
      <c r="D141" s="85" t="inlineStr">
        <is>
          <t>C·数据工程</t>
        </is>
      </c>
      <c r="E141" s="78" t="inlineStr">
        <is>
          <t>• 预跑数据修正 + 生产迁移最终方案（分批清单/时间表）</t>
        </is>
      </c>
      <c r="F141" s="119" t="inlineStr">
        <is>
          <t>迁移方案定稿</t>
        </is>
      </c>
      <c r="G141" s="80" t="inlineStr"/>
      <c r="H141" s="59" t="n"/>
      <c r="I141" s="59" t="n"/>
      <c r="J141" s="59" t="n"/>
    </row>
    <row r="142" ht="22" customHeight="1">
      <c r="B142" s="120" t="n"/>
      <c r="C142" s="120" t="n"/>
      <c r="D142" s="123" t="n"/>
      <c r="E142" s="78" t="inlineStr">
        <is>
          <t>• 生产 Jobs 就绪（增量/Compaction/处置 生产版待发）</t>
        </is>
      </c>
      <c r="F142" s="120" t="n"/>
      <c r="G142" s="120" t="n"/>
      <c r="H142" s="59" t="n"/>
      <c r="I142" s="59" t="n"/>
      <c r="J142" s="59" t="n"/>
    </row>
    <row r="143" ht="22" customHeight="1">
      <c r="A143" s="118" t="inlineStr">
        <is>
          <t>R1</t>
        </is>
      </c>
      <c r="B143" s="94" t="inlineStr">
        <is>
          <t>Sprint 4</t>
        </is>
      </c>
      <c r="C143" s="76" t="inlineStr">
        <is>
          <t>W10</t>
        </is>
      </c>
      <c r="D143" s="87" t="inlineStr">
        <is>
          <t>D·全栈+DevOps</t>
        </is>
      </c>
      <c r="E143" s="78" t="inlineStr">
        <is>
          <t>• UAT 预演技术支撑 + 环境问题修复</t>
        </is>
      </c>
      <c r="F143" s="119" t="inlineStr">
        <is>
          <t>Checklist v1</t>
        </is>
      </c>
      <c r="G143" s="80" t="inlineStr"/>
      <c r="H143" s="59" t="n"/>
      <c r="I143" s="59" t="n"/>
      <c r="J143" s="59" t="n"/>
    </row>
    <row r="144" ht="22" customHeight="1">
      <c r="B144" s="120" t="n"/>
      <c r="C144" s="120" t="n"/>
      <c r="D144" s="124" t="n"/>
      <c r="E144" s="78" t="inlineStr">
        <is>
          <t>• 上线 Checklist 编写（部署顺序/验证点/回退点）</t>
        </is>
      </c>
      <c r="F144" s="120" t="n"/>
      <c r="G144" s="120" t="n"/>
      <c r="H144" s="59" t="n"/>
      <c r="I144" s="59" t="n"/>
      <c r="J144" s="59" t="n"/>
    </row>
    <row r="145" ht="22" customHeight="1">
      <c r="A145" s="118" t="inlineStr">
        <is>
          <t>R1</t>
        </is>
      </c>
      <c r="B145" s="94" t="inlineStr">
        <is>
          <t>Sprint 4</t>
        </is>
      </c>
      <c r="C145" s="76" t="inlineStr">
        <is>
          <t>W10</t>
        </is>
      </c>
      <c r="D145" s="89" t="inlineStr">
        <is>
          <t>E·QA+SLC文档</t>
        </is>
      </c>
      <c r="E145" s="78" t="inlineStr">
        <is>
          <t>• 文档终审推进（7 套进入终稿）</t>
        </is>
      </c>
      <c r="F145" s="119" t="inlineStr">
        <is>
          <t>★ 就绪检查 100% 通过（W11 上线前置）</t>
        </is>
      </c>
      <c r="G145" s="80" t="inlineStr">
        <is>
          <t>各角色材料齐备</t>
        </is>
      </c>
      <c r="H145" s="59" t="n"/>
      <c r="I145" s="59" t="n"/>
      <c r="J145" s="59" t="n"/>
    </row>
    <row r="146" ht="22" customHeight="1">
      <c r="B146" s="120" t="n"/>
      <c r="C146" s="120" t="n"/>
      <c r="D146" s="125" t="n"/>
      <c r="E146" s="78" t="inlineStr">
        <is>
          <t>• 上线就绪检查组织（W10 末：发布包/材料/预演/回退预案 逐项核对）</t>
        </is>
      </c>
      <c r="F146" s="120" t="n"/>
      <c r="G146" s="120" t="n"/>
      <c r="H146" s="59" t="n"/>
      <c r="I146" s="59" t="n"/>
      <c r="J146" s="59" t="n"/>
    </row>
    <row r="147" ht="22" customHeight="1">
      <c r="A147" s="118" t="inlineStr">
        <is>
          <t>R1</t>
        </is>
      </c>
      <c r="B147" s="95" t="inlineStr">
        <is>
          <t>Sprint 5</t>
        </is>
      </c>
      <c r="C147" s="76" t="inlineStr">
        <is>
          <t>W11</t>
        </is>
      </c>
      <c r="D147" s="77" t="inlineStr">
        <is>
          <t>A·需求(50%)</t>
        </is>
      </c>
      <c r="E147" s="78" t="inlineStr">
        <is>
          <t>• Go/No-Go 决策参与（需求满足度视角）</t>
        </is>
      </c>
      <c r="F147" s="119" t="inlineStr">
        <is>
          <t>★ UAT 签字</t>
        </is>
      </c>
      <c r="G147" s="80" t="inlineStr">
        <is>
          <t>UAT 业务方时间</t>
        </is>
      </c>
      <c r="H147" s="59" t="n"/>
      <c r="I147" s="59" t="n"/>
      <c r="J147" s="59" t="n"/>
    </row>
    <row r="148" ht="22" customHeight="1">
      <c r="B148" s="120" t="n"/>
      <c r="C148" s="120" t="n"/>
      <c r="D148" s="121" t="n"/>
      <c r="E148" s="78" t="inlineStr">
        <is>
          <t>• UAT 正式执行主持（8 域场景 + 记录 + 签字）</t>
        </is>
      </c>
      <c r="F148" s="120" t="n"/>
      <c r="G148" s="120" t="n"/>
      <c r="H148" s="59" t="n"/>
      <c r="I148" s="59" t="n"/>
      <c r="J148" s="59" t="n"/>
    </row>
    <row r="149" ht="22" customHeight="1">
      <c r="B149" s="120" t="n"/>
      <c r="C149" s="120" t="n"/>
      <c r="D149" s="121" t="n"/>
      <c r="E149" s="78" t="inlineStr">
        <is>
          <t>• 上线后用户反馈分诊</t>
        </is>
      </c>
      <c r="F149" s="120" t="n"/>
      <c r="G149" s="120" t="n"/>
      <c r="H149" s="59" t="n"/>
      <c r="I149" s="59" t="n"/>
      <c r="J149" s="59" t="n"/>
    </row>
    <row r="150" ht="22" customHeight="1">
      <c r="A150" s="118" t="inlineStr">
        <is>
          <t>R1</t>
        </is>
      </c>
      <c r="B150" s="95" t="inlineStr">
        <is>
          <t>Sprint 5</t>
        </is>
      </c>
      <c r="C150" s="76" t="inlineStr">
        <is>
          <t>W11</t>
        </is>
      </c>
      <c r="D150" s="83" t="inlineStr">
        <is>
          <t>B·架构+开发</t>
        </is>
      </c>
      <c r="E150" s="78" t="inlineStr">
        <is>
          <t>• Go/No-Go 技术评估（权限/存储/性能）</t>
        </is>
      </c>
      <c r="F150" s="119" t="inlineStr">
        <is>
          <t>★ Go-Live</t>
        </is>
      </c>
      <c r="G150" s="80" t="inlineStr"/>
      <c r="H150" s="59" t="n"/>
      <c r="I150" s="59" t="n"/>
      <c r="J150" s="59" t="n"/>
    </row>
    <row r="151" ht="22" customHeight="1">
      <c r="B151" s="120" t="n"/>
      <c r="C151" s="120" t="n"/>
      <c r="D151" s="122" t="n"/>
      <c r="E151" s="78" t="inlineStr">
        <is>
          <t>• 生产发布执行（就绪包一键发布 + Environments 审批）</t>
        </is>
      </c>
      <c r="F151" s="120" t="n"/>
      <c r="G151" s="120" t="n"/>
      <c r="H151" s="59" t="n"/>
      <c r="I151" s="59" t="n"/>
      <c r="J151" s="59" t="n"/>
    </row>
    <row r="152" ht="22" customHeight="1">
      <c r="B152" s="120" t="n"/>
      <c r="C152" s="120" t="n"/>
      <c r="D152" s="122" t="n"/>
      <c r="E152" s="78" t="inlineStr">
        <is>
          <t>• 48h 值守（权限/存储）</t>
        </is>
      </c>
      <c r="F152" s="120" t="n"/>
      <c r="G152" s="120" t="n"/>
      <c r="H152" s="59" t="n"/>
      <c r="I152" s="59" t="n"/>
      <c r="J152" s="59" t="n"/>
    </row>
    <row r="153" ht="22" customHeight="1">
      <c r="A153" s="118" t="inlineStr">
        <is>
          <t>R1</t>
        </is>
      </c>
      <c r="B153" s="95" t="inlineStr">
        <is>
          <t>Sprint 5</t>
        </is>
      </c>
      <c r="C153" s="76" t="inlineStr">
        <is>
          <t>W11</t>
        </is>
      </c>
      <c r="D153" s="85" t="inlineStr">
        <is>
          <t>C·数据工程</t>
        </is>
      </c>
      <c r="E153" s="78" t="inlineStr">
        <is>
          <t>• CC 生产全量迁移收尾（预跑后增量补齐 + 对账）</t>
        </is>
      </c>
      <c r="F153" s="119" t="inlineStr">
        <is>
          <t>生产全量对账通过</t>
        </is>
      </c>
      <c r="G153" s="80" t="inlineStr"/>
      <c r="H153" s="59" t="n"/>
      <c r="I153" s="59" t="n"/>
      <c r="J153" s="59" t="n"/>
    </row>
    <row r="154" ht="22" customHeight="1">
      <c r="B154" s="120" t="n"/>
      <c r="C154" s="120" t="n"/>
      <c r="D154" s="123" t="n"/>
      <c r="E154" s="78" t="inlineStr">
        <is>
          <t>• 生产 Jobs 启动（增量/Compaction/处置）</t>
        </is>
      </c>
      <c r="F154" s="120" t="n"/>
      <c r="G154" s="120" t="n"/>
      <c r="H154" s="59" t="n"/>
      <c r="I154" s="59" t="n"/>
      <c r="J154" s="59" t="n"/>
    </row>
    <row r="155" ht="22" customHeight="1">
      <c r="B155" s="120" t="n"/>
      <c r="C155" s="120" t="n"/>
      <c r="D155" s="123" t="n"/>
      <c r="E155" s="78" t="inlineStr">
        <is>
          <t>• 48h 值守（数据链路）</t>
        </is>
      </c>
      <c r="F155" s="120" t="n"/>
      <c r="G155" s="120" t="n"/>
      <c r="H155" s="59" t="n"/>
      <c r="I155" s="59" t="n"/>
      <c r="J155" s="59" t="n"/>
    </row>
    <row r="156" ht="22" customHeight="1">
      <c r="A156" s="118" t="inlineStr">
        <is>
          <t>R1</t>
        </is>
      </c>
      <c r="B156" s="95" t="inlineStr">
        <is>
          <t>Sprint 5</t>
        </is>
      </c>
      <c r="C156" s="76" t="inlineStr">
        <is>
          <t>W11</t>
        </is>
      </c>
      <c r="D156" s="87" t="inlineStr">
        <is>
          <t>D·全栈+DevOps</t>
        </is>
      </c>
      <c r="E156" s="78" t="inlineStr">
        <is>
          <t>• 生产部署验证（8 域功能全通）</t>
        </is>
      </c>
      <c r="F156" s="119" t="inlineStr">
        <is>
          <t>验证通过</t>
        </is>
      </c>
      <c r="G156" s="80" t="inlineStr"/>
      <c r="H156" s="59" t="n"/>
      <c r="I156" s="59" t="n"/>
      <c r="J156" s="59" t="n"/>
    </row>
    <row r="157" ht="22" customHeight="1">
      <c r="B157" s="120" t="n"/>
      <c r="C157" s="120" t="n"/>
      <c r="D157" s="124" t="n"/>
      <c r="E157" s="78" t="inlineStr">
        <is>
          <t>• P1 问题当日清 + 热修发布</t>
        </is>
      </c>
      <c r="F157" s="120" t="n"/>
      <c r="G157" s="120" t="n"/>
      <c r="H157" s="59" t="n"/>
      <c r="I157" s="59" t="n"/>
      <c r="J157" s="59" t="n"/>
    </row>
    <row r="158" ht="22" customHeight="1">
      <c r="B158" s="120" t="n"/>
      <c r="C158" s="120" t="n"/>
      <c r="D158" s="124" t="n"/>
      <c r="E158" s="78" t="inlineStr">
        <is>
          <t>• 48h 值守（应用/前端/SSO）</t>
        </is>
      </c>
      <c r="F158" s="120" t="n"/>
      <c r="G158" s="120" t="n"/>
      <c r="H158" s="59" t="n"/>
      <c r="I158" s="59" t="n"/>
      <c r="J158" s="59" t="n"/>
    </row>
    <row r="159" ht="22" customHeight="1">
      <c r="A159" s="118" t="inlineStr">
        <is>
          <t>R1</t>
        </is>
      </c>
      <c r="B159" s="95" t="inlineStr">
        <is>
          <t>Sprint 5</t>
        </is>
      </c>
      <c r="C159" s="76" t="inlineStr">
        <is>
          <t>W11</t>
        </is>
      </c>
      <c r="D159" s="89" t="inlineStr">
        <is>
          <t>E·QA+SLC文档</t>
        </is>
      </c>
      <c r="E159" s="78" t="inlineStr">
        <is>
          <t>• 上线执行记录（Checklist 逐项勾选）</t>
        </is>
      </c>
      <c r="F159" s="119" t="inlineStr">
        <is>
          <t>★ 审批受理；上线报告</t>
        </is>
      </c>
      <c r="G159" s="80" t="inlineStr">
        <is>
          <t>审批方受理</t>
        </is>
      </c>
      <c r="H159" s="59" t="n"/>
      <c r="I159" s="59" t="n"/>
      <c r="J159" s="59" t="n"/>
    </row>
    <row r="160" ht="22" customHeight="1">
      <c r="B160" s="120" t="n"/>
      <c r="C160" s="120" t="n"/>
      <c r="D160" s="125" t="n"/>
      <c r="E160" s="78" t="inlineStr">
        <is>
          <t>• 审批材料提交（受理）</t>
        </is>
      </c>
      <c r="F160" s="120" t="n"/>
      <c r="G160" s="120" t="n"/>
      <c r="H160" s="59" t="n"/>
      <c r="I160" s="59" t="n"/>
      <c r="J160" s="59" t="n"/>
    </row>
    <row r="161" ht="22" customHeight="1">
      <c r="B161" s="120" t="n"/>
      <c r="C161" s="120" t="n"/>
      <c r="D161" s="125" t="n"/>
      <c r="E161" s="78" t="inlineStr">
        <is>
          <t>• 48h 值守 + 告警验证</t>
        </is>
      </c>
      <c r="F161" s="120" t="n"/>
      <c r="G161" s="120" t="n"/>
      <c r="H161" s="59" t="n"/>
      <c r="I161" s="59" t="n"/>
      <c r="J161" s="59" t="n"/>
    </row>
    <row r="162" ht="22" customHeight="1">
      <c r="B162" s="120" t="n"/>
      <c r="C162" s="120" t="n"/>
      <c r="D162" s="125" t="n"/>
      <c r="E162" s="78" t="inlineStr">
        <is>
          <t>• 上线验证报告</t>
        </is>
      </c>
      <c r="F162" s="120" t="n"/>
      <c r="G162" s="120" t="n"/>
      <c r="H162" s="59" t="n"/>
      <c r="I162" s="59" t="n"/>
      <c r="J162" s="59" t="n"/>
    </row>
    <row r="163" ht="22" customHeight="1">
      <c r="A163" s="118" t="inlineStr">
        <is>
          <t>R1</t>
        </is>
      </c>
      <c r="B163" s="95" t="inlineStr">
        <is>
          <t>Sprint 5</t>
        </is>
      </c>
      <c r="C163" s="76" t="inlineStr">
        <is>
          <t>W12</t>
        </is>
      </c>
      <c r="D163" s="77" t="inlineStr">
        <is>
          <t>A·需求(50%)</t>
        </is>
      </c>
      <c r="E163" s="78" t="inlineStr">
        <is>
          <t>• 上线一周稳定性观察（需求满足度回顾）</t>
        </is>
      </c>
      <c r="F163" s="119" t="inlineStr">
        <is>
          <t>稳定性确认；遗留清单</t>
        </is>
      </c>
      <c r="G163" s="80" t="inlineStr"/>
      <c r="H163" s="59" t="n"/>
      <c r="I163" s="59" t="n"/>
      <c r="J163" s="59" t="n"/>
    </row>
    <row r="164" ht="22" customHeight="1">
      <c r="B164" s="120" t="n"/>
      <c r="C164" s="120" t="n"/>
      <c r="D164" s="121" t="n"/>
      <c r="E164" s="78" t="inlineStr">
        <is>
          <t>• 遗留问题清单确认</t>
        </is>
      </c>
      <c r="F164" s="120" t="n"/>
      <c r="G164" s="120" t="n"/>
      <c r="H164" s="59" t="n"/>
      <c r="I164" s="59" t="n"/>
      <c r="J164" s="59" t="n"/>
    </row>
    <row r="165" ht="22" customHeight="1">
      <c r="B165" s="120" t="n"/>
      <c r="C165" s="120" t="n"/>
      <c r="D165" s="121" t="n"/>
      <c r="E165" s="78" t="inlineStr">
        <is>
          <t>• 项目结束确认</t>
        </is>
      </c>
      <c r="F165" s="120" t="n"/>
      <c r="G165" s="120" t="n"/>
      <c r="H165" s="59" t="n"/>
      <c r="I165" s="59" t="n"/>
      <c r="J165" s="59" t="n"/>
    </row>
    <row r="166" ht="22" customHeight="1">
      <c r="A166" s="118" t="inlineStr">
        <is>
          <t>R1</t>
        </is>
      </c>
      <c r="B166" s="95" t="inlineStr">
        <is>
          <t>Sprint 5</t>
        </is>
      </c>
      <c r="C166" s="76" t="inlineStr">
        <is>
          <t>W12</t>
        </is>
      </c>
      <c r="D166" s="83" t="inlineStr">
        <is>
          <t>B·架构+开发</t>
        </is>
      </c>
      <c r="E166" s="78" t="inlineStr">
        <is>
          <t>• 遗留问题修复（技术债清零）</t>
        </is>
      </c>
      <c r="F166" s="119" t="inlineStr">
        <is>
          <t>交付物归档</t>
        </is>
      </c>
      <c r="G166" s="80" t="inlineStr"/>
      <c r="H166" s="59" t="n"/>
      <c r="I166" s="59" t="n"/>
      <c r="J166" s="59" t="n"/>
    </row>
    <row r="167" ht="22" customHeight="1">
      <c r="B167" s="120" t="n"/>
      <c r="C167" s="120" t="n"/>
      <c r="D167" s="122" t="n"/>
      <c r="E167" s="78" t="inlineStr">
        <is>
          <t>• 交付物归档：架构文档/ADR/部署脚本 + 版本 tag</t>
        </is>
      </c>
      <c r="F167" s="120" t="n"/>
      <c r="G167" s="120" t="n"/>
      <c r="H167" s="59" t="n"/>
      <c r="I167" s="59" t="n"/>
      <c r="J167" s="59" t="n"/>
    </row>
    <row r="168" ht="22" customHeight="1">
      <c r="A168" s="118" t="inlineStr">
        <is>
          <t>R1</t>
        </is>
      </c>
      <c r="B168" s="95" t="inlineStr">
        <is>
          <t>Sprint 5</t>
        </is>
      </c>
      <c r="C168" s="76" t="inlineStr">
        <is>
          <t>W12</t>
        </is>
      </c>
      <c r="D168" s="85" t="inlineStr">
        <is>
          <t>C·数据工程</t>
        </is>
      </c>
      <c r="E168" s="78" t="inlineStr">
        <is>
          <t>• 增量/处置链路稳定运行确认（一周无失败）</t>
        </is>
      </c>
      <c r="F168" s="119" t="inlineStr">
        <is>
          <t>交付物归档</t>
        </is>
      </c>
      <c r="G168" s="80" t="inlineStr"/>
      <c r="H168" s="59" t="n"/>
      <c r="I168" s="59" t="n"/>
      <c r="J168" s="59" t="n"/>
    </row>
    <row r="169" ht="22" customHeight="1">
      <c r="B169" s="120" t="n"/>
      <c r="C169" s="120" t="n"/>
      <c r="D169" s="123" t="n"/>
      <c r="E169" s="78" t="inlineStr">
        <is>
          <t>• 交付物归档：四层 SQL/Jobs/对账工具</t>
        </is>
      </c>
      <c r="F169" s="120" t="n"/>
      <c r="G169" s="120" t="n"/>
      <c r="H169" s="59" t="n"/>
      <c r="I169" s="59" t="n"/>
      <c r="J169" s="59" t="n"/>
    </row>
    <row r="170" ht="22" customHeight="1">
      <c r="A170" s="118" t="inlineStr">
        <is>
          <t>R1</t>
        </is>
      </c>
      <c r="B170" s="95" t="inlineStr">
        <is>
          <t>Sprint 5</t>
        </is>
      </c>
      <c r="C170" s="76" t="inlineStr">
        <is>
          <t>W12</t>
        </is>
      </c>
      <c r="D170" s="87" t="inlineStr">
        <is>
          <t>D·全栈+DevOps</t>
        </is>
      </c>
      <c r="E170" s="78" t="inlineStr">
        <is>
          <t>• 遗留 Bug 修复 + 代码库整理（README/版本 tag）</t>
        </is>
      </c>
      <c r="F170" s="119" t="inlineStr">
        <is>
          <t>交付物归档</t>
        </is>
      </c>
      <c r="G170" s="80" t="inlineStr"/>
      <c r="H170" s="59" t="n"/>
      <c r="I170" s="59" t="n"/>
      <c r="J170" s="59" t="n"/>
    </row>
    <row r="171" ht="22" customHeight="1">
      <c r="B171" s="120" t="n"/>
      <c r="C171" s="120" t="n"/>
      <c r="D171" s="124" t="n"/>
      <c r="E171" s="78" t="inlineStr">
        <is>
          <t>• 交付物归档：前后端代码/CI-CD/Helm</t>
        </is>
      </c>
      <c r="F171" s="120" t="n"/>
      <c r="G171" s="120" t="n"/>
      <c r="H171" s="59" t="n"/>
      <c r="I171" s="59" t="n"/>
      <c r="J171" s="59" t="n"/>
    </row>
    <row r="172" ht="22" customHeight="1">
      <c r="A172" s="118" t="inlineStr">
        <is>
          <t>R1</t>
        </is>
      </c>
      <c r="B172" s="95" t="inlineStr">
        <is>
          <t>Sprint 5</t>
        </is>
      </c>
      <c r="C172" s="76" t="inlineStr">
        <is>
          <t>W12</t>
        </is>
      </c>
      <c r="D172" s="89" t="inlineStr">
        <is>
          <t>E·QA+SLC文档</t>
        </is>
      </c>
      <c r="E172" s="78" t="inlineStr">
        <is>
          <t>• 文档终版归档（7 套 + 审批包 + Checklist）</t>
        </is>
      </c>
      <c r="F172" s="119" t="inlineStr">
        <is>
          <t>★ Release 2 交付完成</t>
        </is>
      </c>
      <c r="G172" s="80" t="inlineStr"/>
      <c r="H172" s="59" t="n"/>
      <c r="I172" s="59" t="n"/>
      <c r="J172" s="59" t="n"/>
    </row>
    <row r="173" ht="22" customHeight="1">
      <c r="B173" s="120" t="n"/>
      <c r="C173" s="120" t="n"/>
      <c r="D173" s="125" t="n"/>
      <c r="E173" s="78" t="inlineStr">
        <is>
          <t>• 上线一周稳定性报告</t>
        </is>
      </c>
      <c r="F173" s="120" t="n"/>
      <c r="G173" s="120" t="n"/>
      <c r="H173" s="59" t="n"/>
      <c r="I173" s="59" t="n"/>
      <c r="J173" s="59" t="n"/>
    </row>
    <row r="174" ht="22" customHeight="1">
      <c r="B174" s="120" t="n"/>
      <c r="C174" s="120" t="n"/>
      <c r="D174" s="125" t="n"/>
      <c r="E174" s="78" t="inlineStr">
        <is>
          <t>• 项目结束</t>
        </is>
      </c>
      <c r="F174" s="120" t="n"/>
      <c r="G174" s="120" t="n"/>
      <c r="H174" s="59" t="n"/>
      <c r="I174" s="59" t="n"/>
      <c r="J174" s="59" t="n"/>
    </row>
    <row r="175" ht="22" customHeight="1"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</row>
    <row r="176" ht="22" customHeight="1"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</row>
    <row r="177" ht="22" customHeight="1"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</row>
    <row r="178" ht="22" customHeight="1"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</row>
    <row r="179" ht="22" customHeight="1"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</row>
    <row r="180" ht="22" customHeight="1"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</row>
    <row r="181" ht="22" customHeight="1"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</row>
    <row r="182" ht="22" customHeight="1"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</row>
    <row r="183" ht="22" customHeight="1"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</row>
    <row r="184" ht="22" customHeight="1"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</row>
    <row r="185" ht="22" customHeight="1"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</row>
    <row r="186" ht="22" customHeight="1"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</row>
    <row r="187" ht="22" customHeight="1"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</row>
    <row r="188" ht="22" customHeight="1"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</row>
    <row r="189" ht="22" customHeight="1"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</row>
    <row r="190" ht="22" customHeight="1"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</row>
    <row r="191" ht="22" customHeight="1"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</row>
    <row r="192" ht="22" customHeight="1"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</row>
    <row r="193" ht="22" customHeight="1"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</row>
    <row r="194" ht="22" customHeight="1"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</row>
    <row r="195" ht="22" customHeight="1"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</row>
    <row r="196" ht="22" customHeight="1"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</row>
    <row r="197" ht="22" customHeight="1"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</row>
    <row r="198" ht="22" customHeight="1"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</row>
    <row r="199" ht="22" customHeight="1"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</row>
    <row r="200" ht="22" customHeight="1"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</row>
    <row r="201" ht="22" customHeight="1"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</row>
    <row r="202" ht="22" customHeight="1"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</row>
    <row r="203" ht="22" customHeight="1"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</row>
    <row r="204" ht="22" customHeight="1"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</row>
    <row r="205" ht="22" customHeight="1"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</row>
    <row r="206" ht="22" customHeight="1"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</row>
    <row r="207"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</row>
    <row r="208"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</row>
    <row r="209"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</row>
    <row r="210"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</row>
    <row r="211"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</row>
    <row r="212"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</row>
    <row r="213"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</row>
    <row r="214"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</row>
    <row r="215"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</row>
    <row r="216"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</row>
    <row r="217"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</row>
    <row r="218"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</row>
    <row r="219"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</row>
    <row r="220"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</row>
    <row r="221"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</row>
    <row r="222"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</row>
    <row r="223"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</row>
    <row r="224"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</row>
    <row r="225"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</row>
    <row r="226"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</row>
    <row r="227"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</row>
    <row r="228"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</row>
    <row r="229"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</row>
    <row r="230"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</row>
    <row r="231"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</row>
    <row r="232"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</row>
    <row r="233"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</row>
    <row r="234"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2026-08-28T15:44:00Z</dcterms:created>
  <dcterms:modified xsi:type="dcterms:W3CDTF">2026-08-28T01:41:06Z</dcterms:modified>
  <cp:lastModifiedBy>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8B74D09245A83CA9B30F906A52BF7531_42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