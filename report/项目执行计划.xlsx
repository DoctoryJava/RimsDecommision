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640" tabRatio="600" firstSheet="0" activeTab="2" autoFilterDateGrouping="1"/>
  </bookViews>
  <sheets>
    <sheet name="团队角色与分工" sheetId="1" state="visible" r:id="rId1"/>
    <sheet name="Sprint 计划总览" sheetId="2" state="visible" r:id="rId2"/>
    <sheet name="周计划明细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;&quot;￥&quot;\-#,##0"/>
  </numFmts>
  <fonts count="70">
    <font>
      <name val="宋体"/>
      <charset val="134"/>
      <color theme="1"/>
      <sz val="11"/>
      <scheme val="minor"/>
    </font>
    <font>
      <name val="Microsoft YaHei"/>
      <charset val="134"/>
      <b val="1"/>
      <color rgb="FF0F172A"/>
      <sz val="13"/>
    </font>
    <font>
      <name val="Microsoft YaHei"/>
      <charset val="134"/>
      <color rgb="FF64748B"/>
      <sz val="8.5"/>
    </font>
    <font>
      <name val="Microsoft YaHei"/>
      <charset val="134"/>
      <b val="1"/>
      <color rgb="FFFFFFFF"/>
      <sz val="9.5"/>
    </font>
    <font>
      <name val="Microsoft YaHei"/>
      <charset val="134"/>
      <b val="1"/>
      <color rgb="FF64748B"/>
      <sz val="8.5"/>
    </font>
    <font>
      <name val="Microsoft YaHei"/>
      <charset val="134"/>
      <b val="1"/>
      <color rgb="FF0F172A"/>
      <sz val="9"/>
    </font>
    <font>
      <name val="Microsoft YaHei"/>
      <charset val="134"/>
      <b val="1"/>
      <color rgb="FF2563EB"/>
      <sz val="8.5"/>
    </font>
    <font>
      <name val="Microsoft YaHei"/>
      <charset val="134"/>
      <color rgb="FF0F172A"/>
      <sz val="8.5"/>
    </font>
    <font>
      <name val="Microsoft YaHei"/>
      <charset val="134"/>
      <color rgb="FF475569"/>
      <sz val="8.199999999999999"/>
    </font>
    <font>
      <name val="Microsoft YaHei"/>
      <charset val="134"/>
      <color rgb="FFB45309"/>
      <sz val="8"/>
    </font>
    <font>
      <name val="Microsoft YaHei"/>
      <charset val="134"/>
      <color rgb="FF64748B"/>
      <sz val="8"/>
    </font>
    <font>
      <name val="Microsoft YaHei"/>
      <charset val="134"/>
      <color rgb="FF0F172A"/>
      <sz val="9"/>
    </font>
    <font>
      <name val="Microsoft YaHei"/>
      <charset val="134"/>
      <b val="1"/>
      <color rgb="FFC2410C"/>
      <sz val="8.5"/>
    </font>
    <font>
      <name val="Microsoft YaHei"/>
      <charset val="134"/>
      <b val="1"/>
      <color rgb="FF047857"/>
      <sz val="8.5"/>
    </font>
    <font>
      <name val="Microsoft YaHei"/>
      <charset val="134"/>
      <b val="1"/>
      <color rgb="FF7C3AED"/>
      <sz val="8.5"/>
    </font>
    <font>
      <name val="Microsoft YaHei"/>
      <charset val="134"/>
      <b val="1"/>
      <color rgb="FFB45309"/>
      <sz val="8.5"/>
    </font>
    <font>
      <name val="Microsoft YaHei"/>
      <charset val="134"/>
      <b val="1"/>
      <color rgb="FF059669"/>
      <sz val="8.5"/>
    </font>
    <font>
      <name val="Microsoft YaHei"/>
      <charset val="134"/>
      <b val="1"/>
      <color rgb="FF0284C7"/>
      <sz val="8.5"/>
    </font>
    <font>
      <name val="Microsoft YaHei"/>
      <charset val="134"/>
      <b val="1"/>
      <color rgb="FFD97706"/>
      <sz val="8.5"/>
    </font>
    <font>
      <name val="Microsoft YaHei"/>
      <charset val="134"/>
      <b val="1"/>
      <color rgb="FFDC2626"/>
      <sz val="8.5"/>
    </font>
    <font>
      <name val="Microsoft YaHei"/>
      <charset val="134"/>
      <b val="1"/>
      <color rgb="FF64748B"/>
      <sz val="10"/>
    </font>
    <font>
      <name val="Microsoft YaHei"/>
      <charset val="134"/>
      <color rgb="FF475569"/>
      <sz val="9"/>
    </font>
    <font>
      <name val="Microsoft YaHei"/>
      <charset val="134"/>
      <b val="1"/>
      <color rgb="FF0F172A"/>
      <sz val="9.199999999999999"/>
    </font>
    <font>
      <name val="Microsoft YaHei"/>
      <charset val="134"/>
      <color rgb="FF475569"/>
      <sz val="8.5"/>
    </font>
    <font>
      <name val="Microsoft YaHei"/>
      <charset val="134"/>
      <b val="1"/>
      <color rgb="FF059669"/>
      <sz val="10"/>
    </font>
    <font>
      <name val="Microsoft YaHei"/>
      <charset val="134"/>
      <b val="1"/>
      <color rgb="FF0284C7"/>
      <sz val="10"/>
    </font>
    <font>
      <name val="Microsoft YaHei"/>
      <charset val="134"/>
      <b val="1"/>
      <color rgb="FFD97706"/>
      <sz val="10"/>
    </font>
    <font>
      <name val="Microsoft YaHei"/>
      <charset val="134"/>
      <b val="1"/>
      <color rgb="FFDC2626"/>
      <sz val="10"/>
    </font>
    <font>
      <name val="Microsoft YaHei"/>
      <charset val="134"/>
      <b val="1"/>
      <color rgb="FF7C3AED"/>
      <sz val="10"/>
    </font>
    <font>
      <name val="Microsoft YaHei"/>
      <charset val="134"/>
      <b val="1"/>
      <color rgb="FF0F172A"/>
      <sz val="14"/>
    </font>
    <font>
      <name val="Microsoft YaHei"/>
      <charset val="134"/>
      <color rgb="FFB45309"/>
      <sz val="9"/>
    </font>
    <font>
      <name val="宋体"/>
      <charset val="134"/>
      <color theme="0"/>
      <sz val="11"/>
      <scheme val="minor"/>
    </font>
    <font>
      <name val="Microsoft YaHei"/>
      <charset val="134"/>
      <b val="1"/>
      <color rgb="FF2563EB"/>
      <sz val="11"/>
    </font>
    <font>
      <name val="Microsoft YaHei"/>
      <charset val="134"/>
      <b val="1"/>
      <color rgb="FFC2410C"/>
      <sz val="11"/>
    </font>
    <font>
      <name val="Microsoft YaHei"/>
      <charset val="134"/>
      <b val="1"/>
      <color rgb="FF047857"/>
      <sz val="11"/>
    </font>
    <font>
      <name val="Microsoft YaHei"/>
      <charset val="134"/>
      <b val="1"/>
      <color rgb="FF7C3AED"/>
      <sz val="11"/>
    </font>
    <font>
      <name val="Microsoft YaHei"/>
      <charset val="134"/>
      <b val="1"/>
      <color rgb="FFB45309"/>
      <sz val="11"/>
    </font>
    <font>
      <name val="Microsoft YaHei"/>
      <charset val="134"/>
      <b val="1"/>
      <color rgb="FF1E3A8A"/>
      <sz val="9.199999999999999"/>
    </font>
    <font>
      <name val="Microsoft YaHei"/>
      <charset val="134"/>
      <b val="1"/>
      <sz val="9.19999999999999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Microsoft YaHei"/>
      <b val="1"/>
      <color rgb="007c3aed"/>
      <sz val="8.5"/>
    </font>
    <font>
      <name val="Microsoft YaHei"/>
      <b val="1"/>
      <color rgb="000F172A"/>
      <sz val="9"/>
    </font>
    <font>
      <name val="Microsoft YaHei"/>
      <b val="1"/>
      <color rgb="00c2410c"/>
      <sz val="8.5"/>
    </font>
    <font>
      <name val="Microsoft YaHei"/>
      <color rgb="00475569"/>
      <sz val="8.199999999999999"/>
    </font>
    <font>
      <name val="Microsoft YaHei"/>
      <color rgb="00B45309"/>
      <sz val="8"/>
    </font>
    <font>
      <name val="Microsoft YaHei"/>
      <color rgb="0064748B"/>
      <sz val="8"/>
    </font>
    <font>
      <name val="Microsoft YaHei"/>
      <color rgb="000F172A"/>
      <sz val="8.5"/>
    </font>
    <font>
      <name val="Microsoft YaHei"/>
      <b val="1"/>
      <color rgb="00dc2626"/>
      <sz val="8.5"/>
    </font>
    <font>
      <name val="Microsoft YaHei"/>
      <b val="1"/>
      <color rgb="00d97706"/>
      <sz val="8.5"/>
    </font>
    <font>
      <name val="Microsoft YaHei"/>
      <b val="1"/>
      <color rgb="000284c7"/>
      <sz val="8.5"/>
    </font>
    <font>
      <name val="Microsoft YaHei"/>
      <b val="1"/>
      <color rgb="00059669"/>
      <sz val="8.5"/>
    </font>
    <font>
      <name val="Microsoft YaHei"/>
      <b val="1"/>
      <color rgb="0064748b"/>
      <sz val="8.5"/>
    </font>
  </fonts>
  <fills count="53">
    <fill>
      <patternFill/>
    </fill>
    <fill>
      <patternFill patternType="gray125"/>
    </fill>
    <fill>
      <patternFill patternType="solid">
        <fgColor rgb="FF1E3A8A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D9E8FC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DE9FE"/>
      </patternFill>
    </fill>
    <fill>
      <patternFill patternType="solid">
        <fgColor rgb="00FFEDD5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0F2FE"/>
      </patternFill>
    </fill>
    <fill>
      <patternFill patternType="solid">
        <fgColor rgb="00ECFDF5"/>
      </patternFill>
    </fill>
    <fill>
      <patternFill patternType="solid">
        <fgColor rgb="00F1F5F9"/>
      </patternFill>
    </fill>
  </fills>
  <borders count="11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0" fillId="15" borderId="2" applyAlignment="1">
      <alignment vertical="center"/>
    </xf>
    <xf numFmtId="0" fontId="41" fillId="0" borderId="0" applyAlignment="1">
      <alignment vertical="center"/>
    </xf>
    <xf numFmtId="0" fontId="42" fillId="0" borderId="0" applyAlignment="1">
      <alignment vertical="center"/>
    </xf>
    <xf numFmtId="0" fontId="43" fillId="0" borderId="0" applyAlignment="1">
      <alignment vertical="center"/>
    </xf>
    <xf numFmtId="0" fontId="44" fillId="0" borderId="3" applyAlignment="1">
      <alignment vertical="center"/>
    </xf>
    <xf numFmtId="0" fontId="45" fillId="0" borderId="3" applyAlignment="1">
      <alignment vertical="center"/>
    </xf>
    <xf numFmtId="0" fontId="46" fillId="0" borderId="4" applyAlignment="1">
      <alignment vertical="center"/>
    </xf>
    <xf numFmtId="0" fontId="46" fillId="0" borderId="0" applyAlignment="1">
      <alignment vertical="center"/>
    </xf>
    <xf numFmtId="0" fontId="47" fillId="16" borderId="5" applyAlignment="1">
      <alignment vertical="center"/>
    </xf>
    <xf numFmtId="0" fontId="48" fillId="17" borderId="6" applyAlignment="1">
      <alignment vertical="center"/>
    </xf>
    <xf numFmtId="0" fontId="49" fillId="17" borderId="5" applyAlignment="1">
      <alignment vertical="center"/>
    </xf>
    <xf numFmtId="0" fontId="50" fillId="18" borderId="7" applyAlignment="1">
      <alignment vertical="center"/>
    </xf>
    <xf numFmtId="0" fontId="51" fillId="0" borderId="8" applyAlignment="1">
      <alignment vertical="center"/>
    </xf>
    <xf numFmtId="0" fontId="52" fillId="0" borderId="9" applyAlignment="1">
      <alignment vertical="center"/>
    </xf>
    <xf numFmtId="0" fontId="53" fillId="19" borderId="0" applyAlignment="1">
      <alignment vertical="center"/>
    </xf>
    <xf numFmtId="0" fontId="54" fillId="20" borderId="0" applyAlignment="1">
      <alignment vertical="center"/>
    </xf>
    <xf numFmtId="0" fontId="55" fillId="21" borderId="0" applyAlignment="1">
      <alignment vertical="center"/>
    </xf>
    <xf numFmtId="0" fontId="56" fillId="22" borderId="0" applyAlignment="1">
      <alignment vertical="center"/>
    </xf>
    <xf numFmtId="0" fontId="57" fillId="23" borderId="0" applyAlignment="1">
      <alignment vertical="center"/>
    </xf>
    <xf numFmtId="0" fontId="57" fillId="24" borderId="0" applyAlignment="1">
      <alignment vertical="center"/>
    </xf>
    <xf numFmtId="0" fontId="56" fillId="25" borderId="0" applyAlignment="1">
      <alignment vertical="center"/>
    </xf>
    <xf numFmtId="0" fontId="56" fillId="26" borderId="0" applyAlignment="1">
      <alignment vertical="center"/>
    </xf>
    <xf numFmtId="0" fontId="57" fillId="27" borderId="0" applyAlignment="1">
      <alignment vertical="center"/>
    </xf>
    <xf numFmtId="0" fontId="57" fillId="28" borderId="0" applyAlignment="1">
      <alignment vertical="center"/>
    </xf>
    <xf numFmtId="0" fontId="56" fillId="29" borderId="0" applyAlignment="1">
      <alignment vertical="center"/>
    </xf>
    <xf numFmtId="0" fontId="56" fillId="30" borderId="0" applyAlignment="1">
      <alignment vertical="center"/>
    </xf>
    <xf numFmtId="0" fontId="57" fillId="31" borderId="0" applyAlignment="1">
      <alignment vertical="center"/>
    </xf>
    <xf numFmtId="0" fontId="57" fillId="32" borderId="0" applyAlignment="1">
      <alignment vertical="center"/>
    </xf>
    <xf numFmtId="0" fontId="56" fillId="33" borderId="0" applyAlignment="1">
      <alignment vertical="center"/>
    </xf>
    <xf numFmtId="0" fontId="56" fillId="34" borderId="0" applyAlignment="1">
      <alignment vertical="center"/>
    </xf>
    <xf numFmtId="0" fontId="57" fillId="35" borderId="0" applyAlignment="1">
      <alignment vertical="center"/>
    </xf>
    <xf numFmtId="0" fontId="57" fillId="36" borderId="0" applyAlignment="1">
      <alignment vertical="center"/>
    </xf>
    <xf numFmtId="0" fontId="56" fillId="37" borderId="0" applyAlignment="1">
      <alignment vertical="center"/>
    </xf>
    <xf numFmtId="0" fontId="56" fillId="38" borderId="0" applyAlignment="1">
      <alignment vertical="center"/>
    </xf>
    <xf numFmtId="0" fontId="57" fillId="39" borderId="0" applyAlignment="1">
      <alignment vertical="center"/>
    </xf>
    <xf numFmtId="0" fontId="57" fillId="40" borderId="0" applyAlignment="1">
      <alignment vertical="center"/>
    </xf>
    <xf numFmtId="0" fontId="56" fillId="41" borderId="0" applyAlignment="1">
      <alignment vertical="center"/>
    </xf>
    <xf numFmtId="0" fontId="56" fillId="42" borderId="0" applyAlignment="1">
      <alignment vertical="center"/>
    </xf>
    <xf numFmtId="0" fontId="57" fillId="43" borderId="0" applyAlignment="1">
      <alignment vertical="center"/>
    </xf>
    <xf numFmtId="0" fontId="57" fillId="44" borderId="0" applyAlignment="1">
      <alignment vertical="center"/>
    </xf>
    <xf numFmtId="0" fontId="56" fillId="45" borderId="0" applyAlignment="1">
      <alignment vertical="center"/>
    </xf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0" fontId="23" fillId="0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center" vertical="center" wrapText="1"/>
    </xf>
    <xf numFmtId="0" fontId="26" fillId="8" borderId="1" applyAlignment="1" pivotButton="0" quotePrefix="0" xfId="0">
      <alignment horizontal="center" vertical="center" wrapText="1"/>
    </xf>
    <xf numFmtId="0" fontId="27" fillId="11" borderId="1" applyAlignment="1" pivotButton="0" quotePrefix="0" xfId="0">
      <alignment horizontal="center" vertical="center" wrapText="1"/>
    </xf>
    <xf numFmtId="0" fontId="28" fillId="12" borderId="1" applyAlignment="1" pivotButton="0" quotePrefix="0" xfId="0">
      <alignment horizontal="center" vertical="center" wrapText="1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4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left" vertical="center" wrapText="1"/>
    </xf>
    <xf numFmtId="1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3" fillId="5" borderId="1" applyAlignment="1" pivotButton="0" quotePrefix="0" xfId="0">
      <alignment horizontal="center" vertical="center" wrapText="1"/>
    </xf>
    <xf numFmtId="0" fontId="34" fillId="6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 wrapText="1"/>
    </xf>
    <xf numFmtId="0" fontId="37" fillId="14" borderId="1" applyAlignment="1" pivotButton="0" quotePrefix="0" xfId="0">
      <alignment horizontal="center" vertical="center" wrapText="1"/>
    </xf>
    <xf numFmtId="0" fontId="37" fillId="14" borderId="1" applyAlignment="1" pivotButton="0" quotePrefix="0" xfId="0">
      <alignment horizontal="left" vertical="center" wrapText="1"/>
    </xf>
    <xf numFmtId="0" fontId="38" fillId="14" borderId="1" applyAlignment="1" pivotButton="0" quotePrefix="0" xfId="0">
      <alignment horizontal="left" vertical="center" wrapText="1"/>
    </xf>
    <xf numFmtId="164" fontId="22" fillId="14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164" fontId="22" fillId="14" borderId="1" applyAlignment="1" pivotButton="0" quotePrefix="0" xfId="0">
      <alignment horizontal="center" vertical="center" wrapText="1"/>
    </xf>
    <xf numFmtId="0" fontId="69" fillId="5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60" fillId="47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0" borderId="10" applyAlignment="1" pivotButton="0" quotePrefix="0" xfId="0">
      <alignment horizontal="left" vertical="center" wrapText="1"/>
    </xf>
    <xf numFmtId="0" fontId="64" fillId="0" borderId="10" applyAlignment="1" pivotButton="0" quotePrefix="0" xfId="0">
      <alignment horizontal="center" vertical="center" wrapText="1"/>
    </xf>
    <xf numFmtId="0" fontId="64" fillId="47" borderId="10" applyAlignment="1" pivotButton="0" quotePrefix="0" xfId="0">
      <alignment horizontal="center" vertical="center" wrapText="1"/>
    </xf>
    <xf numFmtId="0" fontId="68" fillId="51" borderId="10" applyAlignment="1" pivotButton="0" quotePrefix="0" xfId="0">
      <alignment horizontal="center" vertical="center" wrapText="1"/>
    </xf>
    <xf numFmtId="0" fontId="67" fillId="50" borderId="10" applyAlignment="1" pivotButton="0" quotePrefix="0" xfId="0">
      <alignment horizontal="center" vertical="center" wrapText="1"/>
    </xf>
    <xf numFmtId="0" fontId="66" fillId="49" borderId="10" applyAlignment="1" pivotButton="0" quotePrefix="0" xfId="0">
      <alignment horizontal="center" vertical="center" wrapText="1"/>
    </xf>
    <xf numFmtId="0" fontId="65" fillId="48" borderId="10" applyAlignment="1" pivotButton="0" quotePrefix="0" xfId="0">
      <alignment horizontal="center" vertical="center" wrapText="1"/>
    </xf>
    <xf numFmtId="0" fontId="58" fillId="46" borderId="10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C18" sqref="C18"/>
    </sheetView>
  </sheetViews>
  <sheetFormatPr baseColWidth="8" defaultColWidth="9" defaultRowHeight="16.8"/>
  <cols>
    <col width="8" customWidth="1" min="1" max="1"/>
    <col width="22" customWidth="1" min="2" max="2"/>
    <col width="48" customWidth="1" min="3" max="3"/>
    <col width="28" customWidth="1" min="4" max="4"/>
    <col width="10" customWidth="1" min="5" max="5"/>
    <col width="11" customWidth="1" min="6" max="6"/>
    <col width="20.1923076923077" customWidth="1" min="7" max="7"/>
    <col width="28" customWidth="1" min="8" max="8"/>
    <col width="21.4711538461538" customWidth="1" min="9" max="9"/>
  </cols>
  <sheetData>
    <row r="1" ht="19.2" customHeight="1">
      <c r="A1" s="42" t="inlineStr">
        <is>
          <t>项目执行计划 （Agile）</t>
        </is>
      </c>
    </row>
    <row r="2">
      <c r="A2" s="43" t="n"/>
      <c r="J2" s="44" t="n">
        <v>3300</v>
      </c>
    </row>
    <row r="4" ht="28" customHeight="1">
      <c r="A4" s="32" t="inlineStr">
        <is>
          <t>角色</t>
        </is>
      </c>
      <c r="B4" s="32" t="inlineStr">
        <is>
          <t>角色名称</t>
        </is>
      </c>
      <c r="C4" s="32" t="inlineStr">
        <is>
          <t>核心职责</t>
        </is>
      </c>
      <c r="D4" s="32" t="inlineStr">
        <is>
          <t>技能要求</t>
        </is>
      </c>
      <c r="E4" s="32" t="inlineStr">
        <is>
          <t>工作量占比</t>
        </is>
      </c>
      <c r="F4" s="32" t="inlineStr">
        <is>
          <t>人天（12 周）</t>
        </is>
      </c>
      <c r="G4" s="32" t="inlineStr">
        <is>
          <t>人力费用（¥4500/人天）</t>
        </is>
      </c>
      <c r="H4" s="32" t="inlineStr">
        <is>
          <t>关键产出物</t>
        </is>
      </c>
      <c r="I4" s="32" t="inlineStr">
        <is>
          <t>备注</t>
        </is>
      </c>
    </row>
    <row r="5" ht="62" customHeight="1">
      <c r="A5" s="45" t="inlineStr">
        <is>
          <t>A</t>
        </is>
      </c>
      <c r="B5" s="35" t="inlineStr">
        <is>
          <t>需求分析师（专职，50% 投入）</t>
        </is>
      </c>
      <c r="C5" s="46" t="inlineStr">
        <is>
          <t>① 需求访谈与引导 ② BRD：业务流程图 + 功能清单 + 非功能需求 ③ 用户故事地图与验收标准 ④ UAT 场景设计与组织 ⑤ 需求变更管理与优先级 ⑥ 业务方/源方/法务协调</t>
        </is>
      </c>
      <c r="D5" s="36" t="inlineStr">
        <is>
          <t>需求分析 / 业务流程建模 / 用户故事</t>
        </is>
      </c>
      <c r="E5" s="47">
        <f>F5/F10</f>
        <v/>
      </c>
      <c r="F5" s="48" t="n">
        <v>30</v>
      </c>
      <c r="G5" s="59">
        <f>F5*J2</f>
        <v/>
      </c>
      <c r="H5" s="8" t="inlineStr">
        <is>
          <t>BRD、用户故事地图、验收标准、UAT 场景脚本、需求变更记录</t>
        </is>
      </c>
      <c r="I5" s="50" t="inlineStr">
        <is>
          <t>W1~W2 密集；之后 Sprint 级澄清与验收</t>
        </is>
      </c>
    </row>
    <row r="6" ht="62" customHeight="1">
      <c r="A6" s="51" t="inlineStr">
        <is>
          <t>B</t>
        </is>
      </c>
      <c r="B6" s="35" t="inlineStr">
        <is>
          <t>架构师（兼职功能开发）</t>
        </is>
      </c>
      <c r="C6" s="46" t="inlineStr">
        <is>
          <t>① 架构收尾（W1~W2）：设计定稿 + Azure 环境部署 ② 专项一·角色权限模块：RBAC 五角色矩阵、Entra ID 组映射、UC GRANT 自动化、掩码函数、行级隔离、查询代理连接池路由 ③ 专项二·冷热存储方案：ADLS Hot/Cool/Cold 分层、生命周期规则、SERVE 物化、Compaction 调度、存储成本监控 ④ 前端功能开发：附件预览、多表 JOIN、Retention 界面 ⑤ 代码评审与技术决策</t>
        </is>
      </c>
      <c r="D6" s="36" t="inlineStr">
        <is>
          <t>Databricks / Azure 网络 / .NET 或 React / 系统设计</t>
        </is>
      </c>
      <c r="E6" s="47">
        <f>F6/F10</f>
        <v/>
      </c>
      <c r="F6" s="48" t="inlineStr">
        <is>
          <t>架构文档、Azure 部署脚本、RBAC 权限矩阵与 API、UC 授权/掩码/行级隔离、冷热分层与生命周期策略、SERVE 物化与 Compaction、附件预览/JOIN 渲染/Retention 界面</t>
        </is>
      </c>
      <c r="G6" s="59">
        <f>F6*J2</f>
        <v/>
      </c>
      <c r="H6" s="8" t="inlineStr">
        <is>
          <t>架构设计文档、Azure 部署脚本、UC 权限矩阵、分担开发的功能模块</t>
        </is>
      </c>
      <c r="I6" s="50" t="inlineStr">
        <is>
          <t>W1~W3 架构为主；W4 起开发为主</t>
        </is>
      </c>
    </row>
    <row r="7" ht="62" customHeight="1">
      <c r="A7" s="52" t="inlineStr">
        <is>
          <t>C</t>
        </is>
      </c>
      <c r="B7" s="35" t="inlineStr">
        <is>
          <t>数据工程师（ETL / 湖仓开发）</t>
        </is>
      </c>
      <c r="C7" s="46" t="inlineStr">
        <is>
          <t>① SeaTunnel 抽取链路与配置生成器 ② Iceberg 四层建模 ③ Databricks Jobs（ETL/Compaction/VACUUM/销毁）④ 对账脚本 ⑤ 性能调优</t>
        </is>
      </c>
      <c r="D7" s="36" t="inlineStr">
        <is>
          <t>Python / Spark SQL / SeaTunnel / Iceberg / Databricks SDK</t>
        </is>
      </c>
      <c r="E7" s="47">
        <f>F7/F10</f>
        <v/>
      </c>
      <c r="F7" s="48" t="n">
        <v>37</v>
      </c>
      <c r="G7" s="59">
        <f>F7*J2</f>
        <v/>
      </c>
      <c r="H7" s="8" t="inlineStr">
        <is>
          <t>ETL 生成器、四层 SQL、销毁作业、对账脚本、性能报告</t>
        </is>
      </c>
      <c r="I7" s="50" t="inlineStr">
        <is>
          <t>核心开发，代码量最大</t>
        </is>
      </c>
    </row>
    <row r="8" ht="62" customHeight="1">
      <c r="A8" s="53" t="inlineStr">
        <is>
          <t>D</t>
        </is>
      </c>
      <c r="B8" s="35" t="inlineStr">
        <is>
          <t>全栈开发 + DevOps</t>
        </is>
      </c>
      <c r="C8" s="46" t="inlineStr">
        <is>
          <t>① .NET 10 后端 ② React 前端 ③ CI/CD 流水线 ④ Docker + Helm + AKS 部署 ⑤ SSO</t>
        </is>
      </c>
      <c r="D8" s="36" t="inlineStr">
        <is>
          <t>.NET 10 / React / Docker / Helm / GitHub Actions / AKS / OIDC</t>
        </is>
      </c>
      <c r="E8" s="47">
        <f>F8/F10</f>
        <v/>
      </c>
      <c r="F8" s="48" t="n">
        <v>60</v>
      </c>
      <c r="G8" s="59">
        <f>F8*J2</f>
        <v/>
      </c>
      <c r="H8" s="8" t="inlineStr">
        <is>
          <t>后端 API、React 前端、CI/CD、SSO 集成</t>
        </is>
      </c>
      <c r="I8" s="50" t="inlineStr">
        <is>
          <t>W4 后 B 加入分担，压力缓解</t>
        </is>
      </c>
    </row>
    <row r="9" ht="62" customHeight="1">
      <c r="A9" s="54" t="inlineStr">
        <is>
          <t>E</t>
        </is>
      </c>
      <c r="B9" s="35" t="inlineStr">
        <is>
          <t>QA 测试 + SLC 全生命周期文档</t>
        </is>
      </c>
      <c r="C9" s="46" t="inlineStr">
        <is>
          <t>① 测试策略与计划 ② 功能/集成/性能/安全测试 + UAT 协调 ③ 缺陷管理 ④ SLC 文档：架构图/详细设计/接口文档/数据字典/用户手册/运维手册/审批包 ⑤ 培训</t>
        </is>
      </c>
      <c r="D9" s="36" t="inlineStr">
        <is>
          <t xml:space="preserve">测试设计 / 自动化 / 技术写作 </t>
        </is>
      </c>
      <c r="E9" s="47">
        <f>F9/F10</f>
        <v/>
      </c>
      <c r="F9" s="48" t="n">
        <v>40</v>
      </c>
      <c r="G9" s="59">
        <f>F9*J2</f>
        <v/>
      </c>
      <c r="H9" s="8" t="inlineStr">
        <is>
          <t>测试计划/用例(80+)/自动化/报告、架构图×4、详细设计×3、接口文档、数据字典、用户/运维手册、审批包、培训材料</t>
        </is>
      </c>
      <c r="I9" s="50" t="inlineStr">
        <is>
          <t>W4 起文档测试并重，W9~10 冲刺</t>
        </is>
      </c>
    </row>
    <row r="10" ht="24" customHeight="1">
      <c r="A10" s="55" t="inlineStr">
        <is>
          <t>合计</t>
        </is>
      </c>
      <c r="B10" s="56" t="n"/>
      <c r="C10" s="56" t="n"/>
      <c r="D10" s="56" t="n"/>
      <c r="E10" s="55" t="n"/>
      <c r="F10" s="57">
        <f>SUM(F5:F9)</f>
        <v/>
      </c>
      <c r="G10" s="60">
        <f>SUM(G5:G9)</f>
        <v/>
      </c>
      <c r="H10" s="56" t="n"/>
      <c r="I10" s="56" t="n"/>
    </row>
    <row r="12">
      <c r="A12" s="2" t="inlineStr">
        <is>
          <t> </t>
        </is>
      </c>
    </row>
  </sheetData>
  <mergeCells count="3">
    <mergeCell ref="A12:H12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D11" sqref="D11"/>
    </sheetView>
  </sheetViews>
  <sheetFormatPr baseColWidth="8" defaultColWidth="9" defaultRowHeight="16.8"/>
  <cols>
    <col width="14" customWidth="1" min="1" max="1"/>
    <col width="8" customWidth="1" min="2" max="2"/>
    <col width="22" customWidth="1" min="3" max="3"/>
    <col width="55.9615384615385" customWidth="1" min="4" max="4"/>
    <col width="40" customWidth="1" min="5" max="5"/>
    <col width="32" customWidth="1" min="6" max="6"/>
  </cols>
  <sheetData>
    <row r="1" ht="18.4" customHeight="1">
      <c r="A1" s="1" t="inlineStr">
        <is>
          <t>12 周 Sprint 计划</t>
        </is>
      </c>
    </row>
    <row r="3" ht="28" customHeight="1">
      <c r="A3" s="32" t="inlineStr">
        <is>
          <t>Sprint</t>
        </is>
      </c>
      <c r="B3" s="32" t="inlineStr">
        <is>
          <t>周次</t>
        </is>
      </c>
      <c r="C3" s="32" t="inlineStr">
        <is>
          <t>主题 / 目标</t>
        </is>
      </c>
      <c r="D3" s="32" t="inlineStr">
        <is>
          <t>核心交付物</t>
        </is>
      </c>
      <c r="E3" s="32" t="inlineStr">
        <is>
          <t>演示内容（Sprint Review）</t>
        </is>
      </c>
      <c r="F3" s="32" t="inlineStr">
        <is>
          <t>主要风险</t>
        </is>
      </c>
    </row>
    <row r="4" ht="76" customHeight="1">
      <c r="A4" s="33" t="inlineStr">
        <is>
          <t>Sprint 0
需求+筹备</t>
        </is>
      </c>
      <c r="B4" s="34" t="inlineStr">
        <is>
          <t>W1~W2</t>
        </is>
      </c>
      <c r="C4" s="35" t="inlineStr">
        <is>
          <t>需求确认 + 技术选型落地 + 环境搭建（并行推进）</t>
        </is>
      </c>
      <c r="D4" s="36" t="inlineStr">
        <is>
          <t>① A：BRD 初稿 + 用户故事地图 + 验收标准 + 首系统确认 ② A：Azure 环境搭建（CLI/Bicep：VNet/AKS/ADLS/SQL DB/Key Vault/Databricks）③ B：Databricks 工作区 + UC 初始化 + 源库 PoC ④ C：项目骨架 + CI/CD 流水线 + Docker 本地开发环境 ⑤ D：测试计划 + 架构图初稿（系统上下文图 + 容器图）</t>
        </is>
      </c>
      <c r="E4" s="36" t="inlineStr">
        <is>
          <t>PoC：SeaTunnel 从源库抽数 → Iceberg RAW → SQL Warehouse 可查 + BRD 评审通过</t>
        </is>
      </c>
      <c r="F4" s="36" t="inlineStr">
        <is>
          <t>需求不明确导致后续返工；源库账号/网络延迟</t>
        </is>
      </c>
    </row>
    <row r="5" ht="76" customHeight="1">
      <c r="A5" s="37" t="inlineStr">
        <is>
          <t>Sprint 1
MVP</t>
        </is>
      </c>
      <c r="B5" s="34" t="inlineStr">
        <is>
          <t>W3~W4</t>
        </is>
      </c>
      <c r="C5" s="35" t="inlineStr">
        <is>
          <t>端到端最小闭环：1 张表从源库到查询页可查</t>
        </is>
      </c>
      <c r="D5" s="36" t="inlineStr">
        <is>
          <t>① B：ETL 配置生成器 + RAW→LAKE 直达 ② C：查询代理 API + React 基础查询页 + SSO + Helm 部署到 AKS Dev ③ A：代码评审 + UC 权限落地 ④ D：集成测试 + 架构图完善（组件图 + 部署图）+ 接口文档初稿</t>
        </is>
      </c>
      <c r="E5" s="36" t="inlineStr">
        <is>
          <t>演示：登录 → 系统列表 → 查询页 → 输入条件 → 看到 1 张表数据</t>
        </is>
      </c>
      <c r="F5" s="36" t="inlineStr">
        <is>
          <t>前后端联调超预期；UC 权限首次落地</t>
        </is>
      </c>
    </row>
    <row r="6" ht="76" customHeight="1">
      <c r="A6" s="38" t="inlineStr">
        <is>
          <t>Sprint 2
核心功能</t>
        </is>
      </c>
      <c r="B6" s="34" t="inlineStr">
        <is>
          <t>W5~W6</t>
        </is>
      </c>
      <c r="C6" s="35" t="inlineStr">
        <is>
          <t>完整四层转换 + 附件链路 + 权限体系</t>
        </is>
      </c>
      <c r="D6" s="36" t="inlineStr">
        <is>
          <t>① B：四层转换 + Z-Order + Compaction + 附件链路 ② C：配置化查询表单（元数据驱动）+ 附件预览 + 多表 JOIN + 下钻 ③ A：掩码函数 + 密钥体系+l冷热数据隔离 ④ D：功能测试全量 + 性能测试 + 详细设计文档（数据层+应用层+安全层 3 模块）</t>
        </is>
      </c>
      <c r="E6" s="36" t="inlineStr">
        <is>
          <t>演示：① 掩码查询（有权限明文/无权限掩码）② 附件在线预览 ③ 多表 JOIN</t>
        </is>
      </c>
      <c r="F6" s="36" t="inlineStr">
        <is>
          <t>掩码函数复杂度；Storage Mover 网络打通；D 的文档量大</t>
        </is>
      </c>
    </row>
    <row r="7" ht="76" customHeight="1">
      <c r="A7" s="39" t="inlineStr">
        <is>
          <t>Sprint 3
销毁+第二系统</t>
        </is>
      </c>
      <c r="B7" s="34" t="inlineStr">
        <is>
          <t>W7~W8</t>
        </is>
      </c>
      <c r="C7" s="35" t="inlineStr">
        <is>
          <t>保留策略 + 销毁回路 + 第二系统接入 + 全量测试</t>
        </is>
      </c>
      <c r="D7" s="36" t="inlineStr">
        <is>
          <t>① B：到期扫描 + DROP PARTITION + VACUUM + 销毁作业 ② C：Retention 策略界面 + 审批界面 + 通知 + Dashboard ③ A：第二系统零代码接入验证 ④ D：全量回归测试 + 用户手册初稿 + 数据字典 + 运维手册初稿</t>
        </is>
      </c>
      <c r="E7" s="36" t="inlineStr">
        <is>
          <t>演示：① 保留期→到期自动销毁→审计留痕 ② 第二系统纯配置接入 ③ 监控大盘</t>
        </is>
      </c>
      <c r="F7" s="36" t="inlineStr">
        <is>
          <t>销毁不可逆需严格测试；UAT 场景可能不完整</t>
        </is>
      </c>
    </row>
    <row r="8" ht="76" customHeight="1">
      <c r="A8" s="40" t="inlineStr">
        <is>
          <t>Sprint 4
上线准备</t>
        </is>
      </c>
      <c r="B8" s="34" t="inlineStr">
        <is>
          <t>W9~W10</t>
        </is>
      </c>
      <c r="C8" s="35" t="inlineStr">
        <is>
          <t>生产部署 + 全量文档 + UAT + 审批材料</t>
        </is>
      </c>
      <c r="D8" s="36" t="inlineStr">
        <is>
          <t>① A：生产环境部署（CLI/Bicep）+ 安全评审材料 ② B：首系统全量迁移 + 生产 Jobs 部署 ③ C：生产 AKS 部署 + SSO + 监控接入 ④ D：文档冲刺（用户手册终版 + 运维手册终版 + 架构图终版 + 详细设计终版 + 接口文档终版 + 审批材料包）+ UAT 执行</t>
        </is>
      </c>
      <c r="E8" s="36" t="inlineStr">
        <is>
          <t>演示：① 生产环境端到端 ② UAT 报告 ③ 文档包 ④ 审批材料提交状态</t>
        </is>
      </c>
      <c r="F8" s="36" t="inlineStr">
        <is>
          <t>UAT 业务方配合度；安全评审整改；D 的文档冲刺压力最大</t>
        </is>
      </c>
    </row>
    <row r="9" ht="76" customHeight="1">
      <c r="A9" s="41" t="inlineStr">
        <is>
          <t>Sprint 5
上线+移交</t>
        </is>
      </c>
      <c r="B9" s="34" t="inlineStr">
        <is>
          <t>W11~W12</t>
        </is>
      </c>
      <c r="C9" s="35" t="inlineStr">
        <is>
          <t>正式上线 + 培训 + 知识转移 + 项目关闭</t>
        </is>
      </c>
      <c r="D9" s="36" t="inlineStr">
        <is>
          <t>① 全员：上线值守 ② A：运维培训 + 项目关闭报告 ③ B：运维知识转移（ETL/销毁）④ C：运维知识转移（部署/前端配置）⑤ D：培训交付（业务用户+运维）+ 培训视频 + 接入手册 + 文档归档 + Retro</t>
        </is>
      </c>
      <c r="E9" s="36" t="inlineStr">
        <is>
          <t>演示：① 生产运行报告 ② 运维团队独立操作 ③ 后续接入 SOP</t>
        </is>
      </c>
      <c r="F9" s="36" t="inlineStr">
        <is>
          <t>上线后首周异常；运维团队接手意愿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0"/>
  <sheetViews>
    <sheetView showGridLines="0" tabSelected="1" workbookViewId="0">
      <pane ySplit="4" topLeftCell="A5" activePane="bottomLeft" state="frozen"/>
      <selection activeCell="A1" sqref="A1"/>
      <selection pane="bottomLeft" activeCell="J17" sqref="J17"/>
    </sheetView>
  </sheetViews>
  <sheetFormatPr baseColWidth="8" defaultColWidth="9" defaultRowHeight="16.8"/>
  <cols>
    <col width="8" customWidth="1" min="1" max="1"/>
    <col width="6" customWidth="1" min="2" max="2"/>
    <col width="15" customWidth="1" min="3" max="3"/>
    <col width="56" customWidth="1" min="4" max="4"/>
    <col width="36" customWidth="1" min="5" max="5"/>
    <col width="24" customWidth="1" min="6" max="6"/>
    <col width="20" customWidth="1" min="7" max="7"/>
  </cols>
  <sheetData>
    <row r="1" ht="18.4" customHeight="1">
      <c r="A1" s="1" t="inlineStr">
        <is>
          <t>周计划明细（Sprint→Week 列序 · 任务逐条拆行 · A需求/B架构+开发/C数据/D全栈/E QA）</t>
        </is>
      </c>
    </row>
    <row r="2">
      <c r="A2" s="2" t="n"/>
    </row>
    <row r="4" ht="28" customHeight="1">
      <c r="A4" s="3" t="inlineStr">
        <is>
          <t>Sprint</t>
        </is>
      </c>
      <c r="B4" s="3" t="inlineStr">
        <is>
          <t>Week</t>
        </is>
      </c>
      <c r="C4" s="3" t="inlineStr">
        <is>
          <t>角色</t>
        </is>
      </c>
      <c r="D4" s="3" t="inlineStr">
        <is>
          <t>任务</t>
        </is>
      </c>
      <c r="E4" s="3" t="inlineStr">
        <is>
          <t>产出物 / 验收标准</t>
        </is>
      </c>
      <c r="F4" s="3" t="inlineStr">
        <is>
          <t>依赖/阻塞</t>
        </is>
      </c>
      <c r="G4" s="3" t="inlineStr">
        <is>
          <t>会议/仪式</t>
        </is>
      </c>
    </row>
    <row r="5" ht="22" customHeight="1">
      <c r="A5" s="4" t="inlineStr">
        <is>
          <t>Sprint 0</t>
        </is>
      </c>
      <c r="B5" s="5" t="inlineStr">
        <is>
          <t>W1</t>
        </is>
      </c>
      <c r="C5" s="6" t="inlineStr">
        <is>
          <t>A·需求(50%)</t>
        </is>
      </c>
      <c r="D5" s="7" t="inlineStr">
        <is>
          <t>• 需求访谈×3 场（查询/附件/保留期/权限/审计）</t>
        </is>
      </c>
      <c r="E5" s="8" t="inlineStr">
        <is>
          <t>BRD 初稿可评审；首系统确认</t>
        </is>
      </c>
      <c r="F5" s="9" t="inlineStr">
        <is>
          <t>业务方安排访谈</t>
        </is>
      </c>
      <c r="G5" s="10" t="inlineStr">
        <is>
          <t>Kick-off；需求访谈×3</t>
        </is>
      </c>
    </row>
    <row r="6" ht="22" customHeight="1">
      <c r="A6" s="11" t="inlineStr"/>
      <c r="B6" s="5" t="inlineStr"/>
      <c r="C6" s="12" t="inlineStr"/>
      <c r="D6" s="7" t="inlineStr">
        <is>
          <t>• BRD 初稿：流程图+功能清单+非功能需求</t>
        </is>
      </c>
      <c r="E6" s="13" t="inlineStr"/>
      <c r="F6" s="13" t="inlineStr"/>
      <c r="G6" s="13" t="inlineStr"/>
    </row>
    <row r="7" ht="22" customHeight="1">
      <c r="A7" s="11" t="inlineStr"/>
      <c r="B7" s="5" t="inlineStr"/>
      <c r="C7" s="12" t="inlineStr"/>
      <c r="D7" s="7" t="inlineStr">
        <is>
          <t>• 首系统选定（建议 Dspot）</t>
        </is>
      </c>
      <c r="E7" s="13" t="inlineStr"/>
      <c r="F7" s="13" t="inlineStr"/>
      <c r="G7" s="13" t="inlineStr"/>
    </row>
    <row r="8" ht="22" customHeight="1">
      <c r="A8" s="61" t="inlineStr">
        <is>
          <t>Sprint 0</t>
        </is>
      </c>
      <c r="B8" s="62" t="inlineStr">
        <is>
          <t>W1</t>
        </is>
      </c>
      <c r="C8" s="63" t="inlineStr">
        <is>
          <t>B·架构+开发</t>
        </is>
      </c>
      <c r="D8" s="64" t="inlineStr">
        <is>
          <t>• 架构设计文档定稿（组件/网络/部署图，已有基础上评审微调）</t>
        </is>
      </c>
      <c r="E8" s="65" t="inlineStr">
        <is>
          <t>架构文档 V1 定稿；网络方案确认</t>
        </is>
      </c>
      <c r="F8" s="66" t="inlineStr">
        <is>
          <t>订阅权限；网络团队配合</t>
        </is>
      </c>
      <c r="G8" s="67" t="inlineStr">
        <is>
          <t>Kick-off</t>
        </is>
      </c>
    </row>
    <row r="9" ht="22" customHeight="1">
      <c r="A9" s="68" t="n"/>
      <c r="B9" s="68" t="n"/>
      <c r="C9" s="69" t="n"/>
      <c r="D9" s="64" t="inlineStr">
        <is>
          <t>• Azure 订阅与权限确认（Owner/Contributor）</t>
        </is>
      </c>
      <c r="E9" s="68" t="n"/>
      <c r="F9" s="68" t="n"/>
      <c r="G9" s="68" t="n"/>
    </row>
    <row r="10" ht="22" customHeight="1">
      <c r="A10" s="68" t="n"/>
      <c r="B10" s="68" t="n"/>
      <c r="C10" s="69" t="n"/>
      <c r="D10" s="64" t="inlineStr">
        <is>
          <t>• Azure CLI 脚本初始化：资源组 / VNet / 子网 / NAT</t>
        </is>
      </c>
      <c r="E10" s="68" t="n"/>
      <c r="F10" s="68" t="n"/>
      <c r="G10" s="68" t="n"/>
    </row>
    <row r="11" ht="22" customHeight="1">
      <c r="A11" s="68" t="n"/>
      <c r="B11" s="68" t="n"/>
      <c r="C11" s="69" t="n"/>
      <c r="D11" s="64" t="inlineStr">
        <is>
          <t>• 与网络团队确认源库路径（ExpressRoute / VPN + NAT 白名单）</t>
        </is>
      </c>
      <c r="E11" s="68" t="n"/>
      <c r="F11" s="68" t="n"/>
      <c r="G11" s="68" t="n"/>
    </row>
    <row r="12" ht="22" customHeight="1">
      <c r="A12" s="4" t="inlineStr">
        <is>
          <t>Sprint 0</t>
        </is>
      </c>
      <c r="B12" s="5" t="inlineStr">
        <is>
          <t>W1</t>
        </is>
      </c>
      <c r="C12" s="16" t="inlineStr">
        <is>
          <t>C·数据工程</t>
        </is>
      </c>
      <c r="D12" s="7" t="inlineStr">
        <is>
          <t>• Databricks Premium 工作区创建（或确认已有）</t>
        </is>
      </c>
      <c r="E12" s="8" t="inlineStr">
        <is>
          <t>UC 结构设计文档；ETL 本地→Iceberg PoC 通过</t>
        </is>
      </c>
      <c r="F12" s="9" t="inlineStr">
        <is>
          <t>Databricks 开通周期</t>
        </is>
      </c>
      <c r="G12" s="10" t="n"/>
    </row>
    <row r="13" ht="22" customHeight="1">
      <c r="A13" s="11" t="inlineStr"/>
      <c r="B13" s="5" t="inlineStr"/>
      <c r="C13" s="17" t="inlineStr"/>
      <c r="D13" s="7" t="inlineStr">
        <is>
          <t>• UC Catalog 结构设计</t>
        </is>
      </c>
      <c r="E13" s="13" t="inlineStr"/>
      <c r="F13" s="13" t="inlineStr"/>
      <c r="G13" s="13" t="inlineStr"/>
    </row>
    <row r="14" ht="22" customHeight="1">
      <c r="A14" s="11" t="inlineStr"/>
      <c r="B14" s="5" t="inlineStr"/>
      <c r="C14" s="17" t="inlineStr"/>
      <c r="D14" s="7" t="inlineStr">
        <is>
          <t>• Iceberg 分区策略设计</t>
        </is>
      </c>
      <c r="E14" s="13" t="inlineStr"/>
      <c r="F14" s="13" t="inlineStr"/>
      <c r="G14" s="13" t="inlineStr"/>
    </row>
    <row r="15" ht="22" customHeight="1">
      <c r="A15" s="11" t="inlineStr"/>
      <c r="B15" s="5" t="inlineStr"/>
      <c r="C15" s="17" t="inlineStr"/>
      <c r="D15" s="7" t="inlineStr">
        <is>
          <t>• ETL 本地 PoC 准备</t>
        </is>
      </c>
      <c r="E15" s="13" t="inlineStr"/>
      <c r="F15" s="13" t="inlineStr"/>
      <c r="G15" s="13" t="inlineStr"/>
    </row>
    <row r="16" ht="22" customHeight="1">
      <c r="A16" s="4" t="inlineStr">
        <is>
          <t>Sprint 0</t>
        </is>
      </c>
      <c r="B16" s="5" t="inlineStr">
        <is>
          <t>W1</t>
        </is>
      </c>
      <c r="C16" s="18" t="inlineStr">
        <is>
          <t>D·全栈+DevOps</t>
        </is>
      </c>
      <c r="D16" s="7" t="inlineStr">
        <is>
          <t>• .NET 10 项目骨架 + Clean Architecture</t>
        </is>
      </c>
      <c r="E16" s="8" t="inlineStr">
        <is>
          <t>本地可开发（docker compose up）；CI 推镜像成功</t>
        </is>
      </c>
      <c r="F16" s="9" t="inlineStr">
        <is>
          <t>ACR 先建好（A 的 CLI 脚本）</t>
        </is>
      </c>
      <c r="G16" s="10" t="n"/>
    </row>
    <row r="17" ht="22" customHeight="1">
      <c r="A17" s="11" t="inlineStr"/>
      <c r="B17" s="5" t="inlineStr"/>
      <c r="C17" s="19" t="inlineStr"/>
      <c r="D17" s="7" t="inlineStr">
        <is>
          <t>• React 前端骨架 + 路由/布局</t>
        </is>
      </c>
      <c r="E17" s="13" t="inlineStr"/>
      <c r="F17" s="13" t="inlineStr"/>
      <c r="G17" s="13" t="inlineStr"/>
    </row>
    <row r="18" ht="30" customHeight="1">
      <c r="A18" s="11" t="inlineStr"/>
      <c r="B18" s="5" t="inlineStr"/>
      <c r="C18" s="19" t="inlineStr"/>
      <c r="D18" s="7" t="inlineStr">
        <is>
          <t>• Docker Compose 本地开发环境（SQL Server + Azurite 模拟 ADLS）</t>
        </is>
      </c>
      <c r="E18" s="13" t="inlineStr"/>
      <c r="F18" s="13" t="inlineStr"/>
      <c r="G18" s="13" t="inlineStr"/>
    </row>
    <row r="19" ht="22" customHeight="1">
      <c r="A19" s="4" t="inlineStr">
        <is>
          <t>Sprint 0</t>
        </is>
      </c>
      <c r="B19" s="5" t="inlineStr">
        <is>
          <t>W1</t>
        </is>
      </c>
      <c r="C19" s="20" t="inlineStr">
        <is>
          <t>E·QA+SLC文档</t>
        </is>
      </c>
      <c r="D19" s="7" t="inlineStr">
        <is>
          <t>• 测试计划初稿（功能/集成/性能/安全/UAT）</t>
        </is>
      </c>
      <c r="E19" s="8" t="inlineStr">
        <is>
          <t>测试计划初稿；架构图 2 张初稿；文档模板 4 套</t>
        </is>
      </c>
      <c r="F19" s="9" t="inlineStr">
        <is>
          <t>A 的 BRD 初稿（了解需求范围）</t>
        </is>
      </c>
      <c r="G19" s="10" t="inlineStr">
        <is>
          <t>Kick-off 参加</t>
        </is>
      </c>
    </row>
    <row r="20" ht="22" customHeight="1">
      <c r="A20" s="11" t="inlineStr"/>
      <c r="B20" s="5" t="inlineStr"/>
      <c r="C20" s="21" t="inlineStr"/>
      <c r="D20" s="7" t="inlineStr">
        <is>
          <t>• 架构图初稿：系统上下文图（C4-L1）+ 容器图（C4-L2）</t>
        </is>
      </c>
      <c r="E20" s="13" t="inlineStr"/>
      <c r="F20" s="13" t="inlineStr"/>
      <c r="G20" s="13" t="inlineStr"/>
    </row>
    <row r="21" ht="22" customHeight="1">
      <c r="A21" s="11" t="inlineStr"/>
      <c r="B21" s="5" t="inlineStr"/>
      <c r="C21" s="21" t="inlineStr"/>
      <c r="D21" s="7" t="inlineStr">
        <is>
          <t>• 项目文档模板定稿（详细设计/接口/用户手册/运维手册 4 套模板）</t>
        </is>
      </c>
      <c r="E21" s="13" t="inlineStr"/>
      <c r="F21" s="13" t="inlineStr"/>
      <c r="G21" s="13" t="inlineStr"/>
    </row>
    <row r="22" ht="22" customHeight="1">
      <c r="A22" s="11" t="inlineStr"/>
      <c r="B22" s="5" t="inlineStr"/>
      <c r="C22" s="21" t="inlineStr"/>
      <c r="D22" s="7" t="inlineStr">
        <is>
          <t>• UAT 场景清单初稿</t>
        </is>
      </c>
      <c r="E22" s="13" t="inlineStr"/>
      <c r="F22" s="13" t="inlineStr"/>
      <c r="G22" s="13" t="inlineStr"/>
    </row>
    <row r="23" ht="22" customHeight="1">
      <c r="A23" s="4" t="inlineStr">
        <is>
          <t>Sprint 0</t>
        </is>
      </c>
      <c r="B23" s="5" t="inlineStr">
        <is>
          <t>W2</t>
        </is>
      </c>
      <c r="C23" s="6" t="inlineStr">
        <is>
          <t>A·需求(50%)</t>
        </is>
      </c>
      <c r="D23" s="7" t="inlineStr">
        <is>
          <t>• BRD 评审→定稿签字</t>
        </is>
      </c>
      <c r="E23" s="8" t="inlineStr">
        <is>
          <t>BRD 签字；用户故事地图</t>
        </is>
      </c>
      <c r="F23" s="9" t="inlineStr">
        <is>
          <t>业务方到场</t>
        </is>
      </c>
      <c r="G23" s="10" t="inlineStr">
        <is>
          <t>BRD 评审；S0 Review</t>
        </is>
      </c>
    </row>
    <row r="24" ht="22" customHeight="1">
      <c r="A24" s="11" t="inlineStr"/>
      <c r="B24" s="5" t="inlineStr"/>
      <c r="C24" s="12" t="inlineStr"/>
      <c r="D24" s="7" t="inlineStr">
        <is>
          <t>• 用户故事地图 + Sprint 1~6 验收标准</t>
        </is>
      </c>
      <c r="E24" s="13" t="inlineStr"/>
      <c r="F24" s="13" t="inlineStr"/>
      <c r="G24" s="13" t="inlineStr"/>
    </row>
    <row r="25" ht="22" customHeight="1">
      <c r="A25" s="11" t="inlineStr"/>
      <c r="B25" s="5" t="inlineStr"/>
      <c r="C25" s="12" t="inlineStr"/>
      <c r="D25" s="7" t="inlineStr">
        <is>
          <t>• 优先级排序（MoSCoW）</t>
        </is>
      </c>
      <c r="E25" s="13" t="inlineStr"/>
      <c r="F25" s="13" t="inlineStr"/>
      <c r="G25" s="13" t="inlineStr"/>
    </row>
    <row r="26" ht="30" customHeight="1">
      <c r="A26" s="61" t="inlineStr">
        <is>
          <t>Sprint 0</t>
        </is>
      </c>
      <c r="B26" s="62" t="inlineStr">
        <is>
          <t>W2</t>
        </is>
      </c>
      <c r="C26" s="63" t="inlineStr">
        <is>
          <t>B·架构+开发</t>
        </is>
      </c>
      <c r="D26" s="64" t="inlineStr">
        <is>
          <t>• Azure CLI 完整脚本 → Dev 部署（AKS/ADLS/SQL/KeyVault/AGW/PE/NCC）</t>
        </is>
      </c>
      <c r="E26" s="65" t="inlineStr">
        <is>
          <t>Dev 全套组件就绪；权限矩阵设计稿</t>
        </is>
      </c>
      <c r="F26" s="66" t="inlineStr">
        <is>
          <t>网络团队 NCC 路由</t>
        </is>
      </c>
      <c r="G26" s="67" t="inlineStr">
        <is>
          <t>S0 Review；S1 Planning</t>
        </is>
      </c>
    </row>
    <row r="27" ht="22" customHeight="1">
      <c r="A27" s="68" t="n"/>
      <c r="B27" s="68" t="n"/>
      <c r="C27" s="69" t="n"/>
      <c r="D27" s="64" t="inlineStr">
        <is>
          <t>• 角色权限方案设计：RBAC 五角色（超管/系统管理员/数据操作员/审计员/查询员）权限矩阵</t>
        </is>
      </c>
      <c r="E27" s="68" t="n"/>
      <c r="F27" s="68" t="n"/>
      <c r="G27" s="68" t="n"/>
    </row>
    <row r="28" ht="22" customHeight="1">
      <c r="A28" s="68" t="n"/>
      <c r="B28" s="68" t="n"/>
      <c r="C28" s="69" t="n"/>
      <c r="D28" s="64" t="inlineStr">
        <is>
          <t>• Entra ID 组结构设计：安全组 ↔ 系统角色 ↔ UC 组三方映射表</t>
        </is>
      </c>
      <c r="E28" s="68" t="n"/>
      <c r="F28" s="68" t="n"/>
      <c r="G28" s="68" t="n"/>
    </row>
    <row r="29" ht="30" customHeight="1">
      <c r="A29" s="68" t="n"/>
      <c r="B29" s="68" t="n"/>
      <c r="C29" s="69" t="n"/>
      <c r="D29" s="64" t="inlineStr">
        <is>
          <t>• UC Catalog 结构定稿：catalog-per-system（arch_sysXX）命名与 GRANT 继承树</t>
        </is>
      </c>
      <c r="E29" s="68" t="n"/>
      <c r="F29" s="68" t="n"/>
      <c r="G29" s="68" t="n"/>
    </row>
    <row r="30" ht="22" customHeight="1">
      <c r="A30" s="4" t="inlineStr">
        <is>
          <t>Sprint 0</t>
        </is>
      </c>
      <c r="B30" s="5" t="inlineStr">
        <is>
          <t>W2</t>
        </is>
      </c>
      <c r="C30" s="16" t="inlineStr">
        <is>
          <t>C·数据工程</t>
        </is>
      </c>
      <c r="D30" s="7" t="inlineStr">
        <is>
          <t>• ETL→Iceberg PoC（连真实源库 SQL Server，Dspot）</t>
        </is>
      </c>
      <c r="E30" s="8" t="inlineStr">
        <is>
          <t>PoC 端到端：源库→ETl→Iceberg→SQL Warehouse 可查</t>
        </is>
      </c>
      <c r="F30" s="9" t="inlineStr">
        <is>
          <t>源库只读账号 + NAT IP 白名单</t>
        </is>
      </c>
      <c r="G30" s="10" t="inlineStr">
        <is>
          <t>Sprint 0 Review</t>
        </is>
      </c>
    </row>
    <row r="31" ht="22" customHeight="1">
      <c r="A31" s="11" t="inlineStr"/>
      <c r="B31" s="5" t="inlineStr"/>
      <c r="C31" s="17" t="inlineStr"/>
      <c r="D31" s="7" t="inlineStr">
        <is>
          <t>• RAW 层表创建 + 写入验证</t>
        </is>
      </c>
      <c r="E31" s="13" t="inlineStr"/>
      <c r="F31" s="13" t="inlineStr"/>
      <c r="G31" s="13" t="inlineStr"/>
    </row>
    <row r="32" ht="22" customHeight="1">
      <c r="A32" s="11" t="inlineStr"/>
      <c r="B32" s="5" t="inlineStr"/>
      <c r="C32" s="17" t="inlineStr"/>
      <c r="D32" s="7" t="inlineStr">
        <is>
          <t>• SQL Warehouse 查询验证</t>
        </is>
      </c>
      <c r="E32" s="13" t="inlineStr"/>
      <c r="F32" s="13" t="inlineStr"/>
      <c r="G32" s="13" t="inlineStr"/>
    </row>
    <row r="33" ht="22" customHeight="1">
      <c r="A33" s="4" t="inlineStr">
        <is>
          <t>Sprint 0</t>
        </is>
      </c>
      <c r="B33" s="5" t="inlineStr">
        <is>
          <t>W2</t>
        </is>
      </c>
      <c r="C33" s="18" t="inlineStr">
        <is>
          <t>D·全栈+DevOps</t>
        </is>
      </c>
      <c r="D33" s="7" t="inlineStr">
        <is>
          <t>• CI/CD 完整流水线（自动测试→构建→推镜像→Helm 部署 AKS Dev）</t>
        </is>
      </c>
      <c r="E33" s="8" t="inlineStr">
        <is>
          <t>Pipeline 端到端自动部署成功；浏览器可登录看到列表页</t>
        </is>
      </c>
      <c r="F33" s="9" t="inlineStr">
        <is>
          <t>Entra ID 管理员；AKS Dev 就绪</t>
        </is>
      </c>
      <c r="G33" s="10" t="inlineStr">
        <is>
          <t>Sprint 0 Review</t>
        </is>
      </c>
    </row>
    <row r="34" ht="22" customHeight="1">
      <c r="A34" s="11" t="inlineStr"/>
      <c r="B34" s="5" t="inlineStr"/>
      <c r="C34" s="19" t="inlineStr"/>
      <c r="D34" s="7" t="inlineStr">
        <is>
          <t>• Entra ID 应用注册 + OIDC</t>
        </is>
      </c>
      <c r="E34" s="13" t="inlineStr"/>
      <c r="F34" s="13" t="inlineStr"/>
      <c r="G34" s="13" t="inlineStr"/>
    </row>
    <row r="35" ht="22" customHeight="1">
      <c r="A35" s="11" t="inlineStr"/>
      <c r="B35" s="5" t="inlineStr"/>
      <c r="C35" s="19" t="inlineStr"/>
      <c r="D35" s="7" t="inlineStr">
        <is>
          <t>• 后端认证中间件</t>
        </is>
      </c>
      <c r="E35" s="13" t="inlineStr"/>
      <c r="F35" s="13" t="inlineStr"/>
      <c r="G35" s="13" t="inlineStr"/>
    </row>
    <row r="36" ht="22" customHeight="1">
      <c r="A36" s="11" t="inlineStr"/>
      <c r="B36" s="5" t="inlineStr"/>
      <c r="C36" s="19" t="inlineStr"/>
      <c r="D36" s="7" t="inlineStr">
        <is>
          <t>• 前端登录页 + 系统列表页</t>
        </is>
      </c>
      <c r="E36" s="13" t="inlineStr"/>
      <c r="F36" s="13" t="inlineStr"/>
      <c r="G36" s="13" t="inlineStr"/>
    </row>
    <row r="37" ht="22" customHeight="1">
      <c r="A37" s="11" t="inlineStr"/>
      <c r="B37" s="5" t="inlineStr"/>
      <c r="C37" s="19" t="inlineStr"/>
      <c r="D37" s="7" t="inlineStr">
        <is>
          <t>• Helm Chart 初版</t>
        </is>
      </c>
      <c r="E37" s="13" t="inlineStr"/>
      <c r="F37" s="13" t="inlineStr"/>
      <c r="G37" s="13" t="inlineStr"/>
    </row>
    <row r="38" ht="22" customHeight="1">
      <c r="A38" s="4" t="inlineStr">
        <is>
          <t>Sprint 0</t>
        </is>
      </c>
      <c r="B38" s="5" t="inlineStr">
        <is>
          <t>W2</t>
        </is>
      </c>
      <c r="C38" s="20" t="inlineStr">
        <is>
          <t>E·QA+SLC文档</t>
        </is>
      </c>
      <c r="D38" s="7" t="inlineStr">
        <is>
          <t>• 架构图完善：组件图（C4-L3）+ 部署图（Azure 拓扑）</t>
        </is>
      </c>
      <c r="E38" s="8" t="inlineStr">
        <is>
          <t>架构图 4 张初稿（上下文/容器/组件/部署）；接口文档初稿</t>
        </is>
      </c>
      <c r="F38" s="9" t="inlineStr">
        <is>
          <t>A 的 BRD 定稿；C 的 API 骨架</t>
        </is>
      </c>
      <c r="G38" s="10" t="inlineStr">
        <is>
          <t>Sprint 0 Review</t>
        </is>
      </c>
    </row>
    <row r="39" ht="22" customHeight="1">
      <c r="A39" s="11" t="inlineStr"/>
      <c r="B39" s="5" t="inlineStr"/>
      <c r="C39" s="21" t="inlineStr"/>
      <c r="D39" s="7" t="inlineStr">
        <is>
          <t>• 接口文档初稿（API 列表 + 请求/响应示例）</t>
        </is>
      </c>
      <c r="E39" s="13" t="inlineStr"/>
      <c r="F39" s="13" t="inlineStr"/>
      <c r="G39" s="13" t="inlineStr"/>
    </row>
    <row r="40" ht="22" customHeight="1">
      <c r="A40" s="11" t="inlineStr"/>
      <c r="B40" s="5" t="inlineStr"/>
      <c r="C40" s="21" t="inlineStr"/>
      <c r="D40" s="7" t="inlineStr">
        <is>
          <t>• 测试环境搭建（测试数据准备方案）</t>
        </is>
      </c>
      <c r="E40" s="13" t="inlineStr"/>
      <c r="F40" s="13" t="inlineStr"/>
      <c r="G40" s="13" t="inlineStr"/>
    </row>
    <row r="41" ht="22" customHeight="1">
      <c r="A41" s="11" t="inlineStr"/>
      <c r="B41" s="5" t="inlineStr"/>
      <c r="C41" s="21" t="inlineStr"/>
      <c r="D41" s="7" t="inlineStr">
        <is>
          <t>• 需求可追溯矩阵（BRD→测试用例映射）</t>
        </is>
      </c>
      <c r="E41" s="13" t="inlineStr"/>
      <c r="F41" s="13" t="inlineStr"/>
      <c r="G41" s="13" t="inlineStr"/>
    </row>
    <row r="42" ht="22" customHeight="1">
      <c r="A42" s="22" t="inlineStr">
        <is>
          <t>Sprint 1</t>
        </is>
      </c>
      <c r="B42" s="5" t="inlineStr">
        <is>
          <t>W3</t>
        </is>
      </c>
      <c r="C42" s="6" t="inlineStr">
        <is>
          <t>A·需求(50%)</t>
        </is>
      </c>
      <c r="D42" s="7" t="inlineStr">
        <is>
          <t>• Sprint 2 需求澄清（附件/掩码/JOIN 细节）</t>
        </is>
      </c>
      <c r="E42" s="8" t="inlineStr">
        <is>
          <t>S2 需求就绪；原型确认</t>
        </is>
      </c>
      <c r="F42" s="9" t="n"/>
      <c r="G42" s="10" t="inlineStr">
        <is>
          <t>S1 Planning</t>
        </is>
      </c>
    </row>
    <row r="43" ht="30" customHeight="1">
      <c r="A43" s="23" t="inlineStr"/>
      <c r="B43" s="5" t="inlineStr"/>
      <c r="C43" s="12" t="inlineStr"/>
      <c r="D43" s="7" t="inlineStr">
        <is>
          <t>• 原型草图确认（查询页/配置页交互）</t>
        </is>
      </c>
      <c r="E43" s="13" t="inlineStr"/>
      <c r="F43" s="13" t="inlineStr"/>
      <c r="G43" s="13" t="inlineStr"/>
    </row>
    <row r="44" ht="30" customHeight="1">
      <c r="A44" s="70" t="inlineStr">
        <is>
          <t>Sprint 1</t>
        </is>
      </c>
      <c r="B44" s="62" t="inlineStr">
        <is>
          <t>W3</t>
        </is>
      </c>
      <c r="C44" s="63" t="inlineStr">
        <is>
          <t>B·架构+开发</t>
        </is>
      </c>
      <c r="D44" s="64" t="inlineStr">
        <is>
          <t>• 角色权限开发①：user/role/permission/page 四表 CRUD API + 关联表管理接口</t>
        </is>
      </c>
      <c r="E44" s="65" t="inlineStr">
        <is>
          <t>RBAC 基础 API + 鉴权中间件提测</t>
        </is>
      </c>
      <c r="F44" s="66" t="inlineStr"/>
      <c r="G44" s="67" t="inlineStr">
        <is>
          <t>Daily Standup</t>
        </is>
      </c>
    </row>
    <row r="45" ht="22" customHeight="1">
      <c r="A45" s="68" t="n"/>
      <c r="B45" s="68" t="n"/>
      <c r="C45" s="69" t="n"/>
      <c r="D45" s="64" t="inlineStr">
        <is>
          <t>• 角色权限开发②：Entra ID OIDC 登录 → JWT 角色 Claims 映射 → 后端鉴权中间件</t>
        </is>
      </c>
      <c r="E45" s="68" t="n"/>
      <c r="F45" s="68" t="n"/>
      <c r="G45" s="68" t="n"/>
    </row>
    <row r="46" ht="22" customHeight="1">
      <c r="A46" s="68" t="n"/>
      <c r="B46" s="68" t="n"/>
      <c r="C46" s="69" t="n"/>
      <c r="D46" s="64" t="inlineStr">
        <is>
          <t>• 角色权限开发③：前端菜单/按钮级权限渲染指令（无权限即隐藏）</t>
        </is>
      </c>
      <c r="E46" s="68" t="n"/>
      <c r="F46" s="68" t="n"/>
      <c r="G46" s="68" t="n"/>
    </row>
    <row r="47" ht="22" customHeight="1">
      <c r="A47" s="68" t="n"/>
      <c r="B47" s="68" t="n"/>
      <c r="C47" s="69" t="n"/>
      <c r="D47" s="64" t="inlineStr">
        <is>
          <t>• 代码评审（C 数据链路 + D 全栈骨架）</t>
        </is>
      </c>
      <c r="E47" s="68" t="n"/>
      <c r="F47" s="68" t="n"/>
      <c r="G47" s="68" t="n"/>
    </row>
    <row r="48" ht="22" customHeight="1">
      <c r="A48" s="22" t="inlineStr">
        <is>
          <t>Sprint 1</t>
        </is>
      </c>
      <c r="B48" s="5" t="inlineStr">
        <is>
          <t>W3</t>
        </is>
      </c>
      <c r="C48" s="16" t="inlineStr">
        <is>
          <t>C·数据工程</t>
        </is>
      </c>
      <c r="D48" s="7" t="inlineStr">
        <is>
          <t>• ETL（读 source_table→生成配置→提交 Job）</t>
        </is>
      </c>
      <c r="E48" s="8" t="inlineStr">
        <is>
          <t>配置生成器跑通：选表→生成任务→数据进 RAW</t>
        </is>
      </c>
      <c r="F48" s="9" t="inlineStr">
        <is>
          <t>元数据库有测试数据</t>
        </is>
      </c>
      <c r="G48" s="10" t="n"/>
    </row>
    <row r="49" ht="22" customHeight="1">
      <c r="A49" s="23" t="inlineStr"/>
      <c r="B49" s="5" t="inlineStr"/>
      <c r="C49" s="17" t="inlineStr"/>
      <c r="D49" s="7" t="inlineStr">
        <is>
          <t>• RAW→LAKE 直达转换</t>
        </is>
      </c>
      <c r="E49" s="13" t="inlineStr"/>
      <c r="F49" s="13" t="inlineStr"/>
      <c r="G49" s="13" t="inlineStr"/>
    </row>
    <row r="50" ht="22" customHeight="1">
      <c r="A50" s="23" t="inlineStr"/>
      <c r="B50" s="5" t="inlineStr"/>
      <c r="C50" s="17" t="inlineStr"/>
      <c r="D50" s="7" t="inlineStr">
        <is>
          <t>• 触发方式（后端调 K8s API 或 ADF）</t>
        </is>
      </c>
      <c r="E50" s="13" t="inlineStr"/>
      <c r="F50" s="13" t="inlineStr"/>
      <c r="G50" s="13" t="inlineStr"/>
    </row>
    <row r="51" ht="22" customHeight="1">
      <c r="A51" s="22" t="inlineStr">
        <is>
          <t>Sprint 1</t>
        </is>
      </c>
      <c r="B51" s="5" t="inlineStr">
        <is>
          <t>W3</t>
        </is>
      </c>
      <c r="C51" s="18" t="inlineStr">
        <is>
          <t>D·全栈+DevOps</t>
        </is>
      </c>
      <c r="D51" s="7" t="inlineStr">
        <is>
          <t>• 核心 CRUD API：系统/源库/表清单/查询配置</t>
        </is>
      </c>
      <c r="E51" s="8" t="inlineStr">
        <is>
          <t>Postman API 全通；前端可配置查询字段</t>
        </is>
      </c>
      <c r="F51" s="9" t="inlineStr">
        <is>
          <t>SQL Warehouse 连接串</t>
        </is>
      </c>
      <c r="G51" s="10" t="n"/>
    </row>
    <row r="52" ht="22" customHeight="1">
      <c r="A52" s="23" t="inlineStr"/>
      <c r="B52" s="5" t="inlineStr"/>
      <c r="C52" s="19" t="inlineStr"/>
      <c r="D52" s="7" t="inlineStr">
        <is>
          <t>• 查询代理 API（→SQL Warehouse）</t>
        </is>
      </c>
      <c r="E52" s="13" t="inlineStr"/>
      <c r="F52" s="13" t="inlineStr"/>
      <c r="G52" s="13" t="inlineStr"/>
    </row>
    <row r="53" ht="22" customHeight="1">
      <c r="A53" s="23" t="inlineStr"/>
      <c r="B53" s="5" t="inlineStr"/>
      <c r="C53" s="19" t="inlineStr"/>
      <c r="D53" s="7" t="inlineStr">
        <is>
          <t>• Helm Chart 完善（后端+前端+Service+Ingress）</t>
        </is>
      </c>
      <c r="E53" s="13" t="inlineStr"/>
      <c r="F53" s="13" t="inlineStr"/>
      <c r="G53" s="13" t="inlineStr"/>
    </row>
    <row r="54" ht="22" customHeight="1">
      <c r="A54" s="23" t="inlineStr"/>
      <c r="B54" s="5" t="inlineStr"/>
      <c r="C54" s="19" t="inlineStr"/>
      <c r="D54" s="7" t="inlineStr">
        <is>
          <t>• 前端：查询配置管理页</t>
        </is>
      </c>
      <c r="E54" s="13" t="inlineStr"/>
      <c r="F54" s="13" t="inlineStr"/>
      <c r="G54" s="13" t="inlineStr"/>
    </row>
    <row r="55" ht="22" customHeight="1">
      <c r="A55" s="22" t="inlineStr">
        <is>
          <t>Sprint 1</t>
        </is>
      </c>
      <c r="B55" s="5" t="inlineStr">
        <is>
          <t>W3</t>
        </is>
      </c>
      <c r="C55" s="20" t="inlineStr">
        <is>
          <t>E·QA+SLC文档</t>
        </is>
      </c>
      <c r="D55" s="7" t="inlineStr">
        <is>
          <t>• 单元测试框架搭建（xUnit + Mock）</t>
        </is>
      </c>
      <c r="E55" s="8" t="inlineStr">
        <is>
          <t>CI 里自动跑测试 &gt;80%；应用层详细设计初稿</t>
        </is>
      </c>
      <c r="F55" s="9" t="inlineStr">
        <is>
          <t>C 的 API 稳定</t>
        </is>
      </c>
      <c r="G55" s="10" t="n"/>
    </row>
    <row r="56" ht="22" customHeight="1">
      <c r="A56" s="23" t="inlineStr"/>
      <c r="B56" s="5" t="inlineStr"/>
      <c r="C56" s="21" t="inlineStr"/>
      <c r="D56" s="7" t="inlineStr">
        <is>
          <t>• API 集成测试（10 核心场景）</t>
        </is>
      </c>
      <c r="E56" s="13" t="inlineStr"/>
      <c r="F56" s="13" t="inlineStr"/>
      <c r="G56" s="13" t="inlineStr"/>
    </row>
    <row r="57" ht="22" customHeight="1">
      <c r="A57" s="23" t="inlineStr"/>
      <c r="B57" s="5" t="inlineStr"/>
      <c r="C57" s="21" t="inlineStr"/>
      <c r="D57" s="7" t="inlineStr">
        <is>
          <t>• E2E 测试骨架（Playwright）</t>
        </is>
      </c>
      <c r="E57" s="13" t="inlineStr"/>
      <c r="F57" s="13" t="inlineStr"/>
      <c r="G57" s="13" t="inlineStr"/>
    </row>
    <row r="58" ht="22" customHeight="1">
      <c r="A58" s="23" t="inlineStr"/>
      <c r="B58" s="5" t="inlineStr"/>
      <c r="C58" s="21" t="inlineStr"/>
      <c r="D58" s="7" t="inlineStr">
        <is>
          <t>• 详细设计文档初稿：应用层（API 设计 + 类图 + 时序图）</t>
        </is>
      </c>
      <c r="E58" s="13" t="inlineStr"/>
      <c r="F58" s="13" t="inlineStr"/>
      <c r="G58" s="13" t="inlineStr"/>
    </row>
    <row r="59" ht="30" customHeight="1">
      <c r="A59" s="22" t="inlineStr">
        <is>
          <t>Sprint 1</t>
        </is>
      </c>
      <c r="B59" s="5" t="inlineStr">
        <is>
          <t>W4</t>
        </is>
      </c>
      <c r="C59" s="6" t="inlineStr">
        <is>
          <t>A·需求(50%)</t>
        </is>
      </c>
      <c r="D59" s="7" t="inlineStr">
        <is>
          <t>• Sprint 3 需求澄清（Retention/审批/通知）</t>
        </is>
      </c>
      <c r="E59" s="8" t="inlineStr">
        <is>
          <t>S3 需求就绪；S1 验收记录</t>
        </is>
      </c>
      <c r="F59" s="9" t="n"/>
      <c r="G59" s="10" t="inlineStr">
        <is>
          <t>S1 Review ★</t>
        </is>
      </c>
    </row>
    <row r="60" ht="22" customHeight="1">
      <c r="A60" s="23" t="inlineStr"/>
      <c r="B60" s="5" t="inlineStr"/>
      <c r="C60" s="12" t="inlineStr"/>
      <c r="D60" s="7" t="inlineStr">
        <is>
          <t>• 验收 Sprint 1 交付（对照用户故事）</t>
        </is>
      </c>
      <c r="E60" s="13" t="inlineStr"/>
      <c r="F60" s="13" t="inlineStr"/>
      <c r="G60" s="13" t="inlineStr"/>
    </row>
    <row r="61" ht="30" customHeight="1">
      <c r="A61" s="70" t="inlineStr">
        <is>
          <t>Sprint 1</t>
        </is>
      </c>
      <c r="B61" s="62" t="inlineStr">
        <is>
          <t>W4</t>
        </is>
      </c>
      <c r="C61" s="63" t="inlineStr">
        <is>
          <t>B·架构+开发</t>
        </is>
      </c>
      <c r="D61" s="64" t="inlineStr">
        <is>
          <t>• 角色权限开发④：SP-query / SP-audit 服务主体创建脚本 + UC GRANT 自动化</t>
        </is>
      </c>
      <c r="E61" s="65" t="inlineStr">
        <is>
          <t>权限端到端演示通过（明文/掩码/拒绝三态）</t>
        </is>
      </c>
      <c r="F61" s="66" t="inlineStr">
        <is>
          <t>C 的 SERVE 数据</t>
        </is>
      </c>
      <c r="G61" s="67" t="inlineStr">
        <is>
          <t>S1 Review ★</t>
        </is>
      </c>
    </row>
    <row r="62" ht="22" customHeight="1">
      <c r="A62" s="68" t="n"/>
      <c r="B62" s="68" t="n"/>
      <c r="C62" s="69" t="n"/>
      <c r="D62" s="64" t="inlineStr">
        <is>
          <t>• 角色权限开发⑤：查询代理按系统选连接池（元数据判定 → SP 连接路由）</t>
        </is>
      </c>
      <c r="E62" s="68" t="n"/>
      <c r="F62" s="68" t="n"/>
      <c r="G62" s="68" t="n"/>
    </row>
    <row r="63" ht="22" customHeight="1">
      <c r="A63" s="68" t="n"/>
      <c r="B63" s="68" t="n"/>
      <c r="C63" s="69" t="n"/>
      <c r="D63" s="64" t="inlineStr">
        <is>
          <t>• 角色权限开发⑥：UC 掩码函数部署（aes_encrypt + is_account_group_member）</t>
        </is>
      </c>
      <c r="E63" s="68" t="n"/>
      <c r="F63" s="68" t="n"/>
      <c r="G63" s="68" t="n"/>
    </row>
    <row r="64" ht="22" customHeight="1">
      <c r="A64" s="68" t="n"/>
      <c r="B64" s="68" t="n"/>
      <c r="C64" s="69" t="n"/>
      <c r="D64" s="64" t="inlineStr">
        <is>
          <t>• 端到端联调：登录 → 权限判定 → 掩码查询链路贯通</t>
        </is>
      </c>
      <c r="E64" s="68" t="n"/>
      <c r="F64" s="68" t="n"/>
      <c r="G64" s="68" t="n"/>
    </row>
    <row r="65" ht="22" customHeight="1">
      <c r="A65" s="22" t="inlineStr">
        <is>
          <t>Sprint 1</t>
        </is>
      </c>
      <c r="B65" s="5" t="inlineStr">
        <is>
          <t>W4</t>
        </is>
      </c>
      <c r="C65" s="16" t="inlineStr">
        <is>
          <t>C·数据工程</t>
        </is>
      </c>
      <c r="D65" s="7" t="inlineStr">
        <is>
          <t>• 端到端联调：源→Job→RAW→LAKE→查询代理</t>
        </is>
      </c>
      <c r="E65" s="8" t="inlineStr">
        <is>
          <t>1 张表端到端：源→查询页可查</t>
        </is>
      </c>
      <c r="F65" s="9" t="n"/>
      <c r="G65" s="10" t="inlineStr">
        <is>
          <t>Sprint 1 Review</t>
        </is>
      </c>
    </row>
    <row r="66" ht="22" customHeight="1">
      <c r="A66" s="23" t="inlineStr"/>
      <c r="B66" s="5" t="inlineStr"/>
      <c r="C66" s="17" t="inlineStr"/>
      <c r="D66" s="7" t="inlineStr">
        <is>
          <t>• 对账脚本（行数+校验和）</t>
        </is>
      </c>
      <c r="E66" s="13" t="inlineStr"/>
      <c r="F66" s="13" t="inlineStr"/>
      <c r="G66" s="13" t="inlineStr"/>
    </row>
    <row r="67" ht="22" customHeight="1">
      <c r="A67" s="23" t="inlineStr"/>
      <c r="B67" s="5" t="inlineStr"/>
      <c r="C67" s="17" t="inlineStr"/>
      <c r="D67" s="7" t="inlineStr">
        <is>
          <t>• Compaction 初版</t>
        </is>
      </c>
      <c r="E67" s="13" t="inlineStr"/>
      <c r="F67" s="13" t="inlineStr"/>
      <c r="G67" s="13" t="inlineStr"/>
    </row>
    <row r="68" ht="22" customHeight="1">
      <c r="A68" s="23" t="inlineStr"/>
      <c r="B68" s="5" t="inlineStr"/>
      <c r="C68" s="17" t="inlineStr"/>
      <c r="D68" s="7" t="inlineStr">
        <is>
          <t>• 增量方案确认</t>
        </is>
      </c>
      <c r="E68" s="13" t="inlineStr"/>
      <c r="F68" s="13" t="inlineStr"/>
      <c r="G68" s="13" t="inlineStr"/>
    </row>
    <row r="69" ht="22" customHeight="1">
      <c r="A69" s="22" t="inlineStr">
        <is>
          <t>Sprint 1</t>
        </is>
      </c>
      <c r="B69" s="5" t="inlineStr">
        <is>
          <t>W4</t>
        </is>
      </c>
      <c r="C69" s="18" t="inlineStr">
        <is>
          <t>D·全栈+DevOps</t>
        </is>
      </c>
      <c r="D69" s="7" t="inlineStr">
        <is>
          <t>• 前端查询页（元数据驱动渲染：筛选/表格/分页）</t>
        </is>
      </c>
      <c r="E69" s="8" t="inlineStr">
        <is>
          <t>登录→选系统→查表→看到数据</t>
        </is>
      </c>
      <c r="F69" s="9" t="inlineStr">
        <is>
          <t>查询代理就绪</t>
        </is>
      </c>
      <c r="G69" s="10" t="inlineStr">
        <is>
          <t>Sprint 1 Review ★ MVP 演示</t>
        </is>
      </c>
    </row>
    <row r="70" ht="22" customHeight="1">
      <c r="A70" s="23" t="inlineStr"/>
      <c r="B70" s="5" t="inlineStr"/>
      <c r="C70" s="19" t="inlineStr"/>
      <c r="D70" s="7" t="inlineStr">
        <is>
          <t>• 查询结果导出 CSV</t>
        </is>
      </c>
      <c r="E70" s="13" t="inlineStr"/>
      <c r="F70" s="13" t="inlineStr"/>
      <c r="G70" s="13" t="inlineStr"/>
    </row>
    <row r="71" ht="22" customHeight="1">
      <c r="A71" s="23" t="inlineStr"/>
      <c r="B71" s="5" t="inlineStr"/>
      <c r="C71" s="19" t="inlineStr"/>
      <c r="D71" s="7" t="inlineStr">
        <is>
          <t>• 附件 URL 生成框架</t>
        </is>
      </c>
      <c r="E71" s="13" t="inlineStr"/>
      <c r="F71" s="13" t="inlineStr"/>
      <c r="G71" s="13" t="inlineStr"/>
    </row>
    <row r="72" ht="22" customHeight="1">
      <c r="A72" s="23" t="inlineStr"/>
      <c r="B72" s="5" t="inlineStr"/>
      <c r="C72" s="19" t="inlineStr"/>
      <c r="D72" s="7" t="inlineStr">
        <is>
          <t>• 前后端联调</t>
        </is>
      </c>
      <c r="E72" s="13" t="inlineStr"/>
      <c r="F72" s="13" t="inlineStr"/>
      <c r="G72" s="13" t="inlineStr"/>
    </row>
    <row r="73" ht="22" customHeight="1">
      <c r="A73" s="22" t="inlineStr">
        <is>
          <t>Sprint 1</t>
        </is>
      </c>
      <c r="B73" s="5" t="inlineStr">
        <is>
          <t>W4</t>
        </is>
      </c>
      <c r="C73" s="20" t="inlineStr">
        <is>
          <t>E·QA+SLC文档</t>
        </is>
      </c>
      <c r="D73" s="7" t="inlineStr">
        <is>
          <t>• 集成测试执行 + Bug 跟踪</t>
        </is>
      </c>
      <c r="E73" s="8" t="inlineStr">
        <is>
          <t>测试报告；数据层详细设计初稿</t>
        </is>
      </c>
      <c r="F73" s="9" t="n"/>
      <c r="G73" s="10" t="inlineStr">
        <is>
          <t>Sprint 1 Review</t>
        </is>
      </c>
    </row>
    <row r="74" ht="22" customHeight="1">
      <c r="A74" s="23" t="inlineStr"/>
      <c r="B74" s="5" t="inlineStr"/>
      <c r="C74" s="21" t="inlineStr"/>
      <c r="D74" s="7" t="inlineStr">
        <is>
          <t>• 详细设计初稿：数据层（Iceberg 表结构 + 四层转换逻辑 + ER 图）</t>
        </is>
      </c>
      <c r="E74" s="13" t="inlineStr"/>
      <c r="F74" s="13" t="inlineStr"/>
      <c r="G74" s="13" t="inlineStr"/>
    </row>
    <row r="75" ht="22" customHeight="1">
      <c r="A75" s="23" t="inlineStr"/>
      <c r="B75" s="5" t="inlineStr"/>
      <c r="C75" s="21" t="inlineStr"/>
      <c r="D75" s="7" t="inlineStr">
        <is>
          <t>• Sprint 1 测试报告</t>
        </is>
      </c>
      <c r="E75" s="13" t="inlineStr"/>
      <c r="F75" s="13" t="inlineStr"/>
      <c r="G75" s="13" t="inlineStr"/>
    </row>
    <row r="76" ht="30" customHeight="1">
      <c r="A76" s="23" t="inlineStr"/>
      <c r="B76" s="5" t="inlineStr"/>
      <c r="C76" s="21" t="inlineStr"/>
      <c r="D76" s="7" t="inlineStr">
        <is>
          <t>• 架构图更新（反映实际部署）</t>
        </is>
      </c>
      <c r="E76" s="13" t="inlineStr"/>
      <c r="F76" s="13" t="inlineStr"/>
      <c r="G76" s="13" t="inlineStr"/>
    </row>
    <row r="77" ht="30" customHeight="1">
      <c r="A77" s="24" t="inlineStr">
        <is>
          <t>Sprint 2</t>
        </is>
      </c>
      <c r="B77" s="5" t="inlineStr">
        <is>
          <t>W5</t>
        </is>
      </c>
      <c r="C77" s="6" t="inlineStr">
        <is>
          <t>A·需求(50%)</t>
        </is>
      </c>
      <c r="D77" s="7" t="inlineStr">
        <is>
          <t>• Sprint 4 需求澄清（UAT 场景/审批流程）</t>
        </is>
      </c>
      <c r="E77" s="8" t="inlineStr">
        <is>
          <t>S4 需求就绪；S2 验收记录</t>
        </is>
      </c>
      <c r="F77" s="9" t="n"/>
      <c r="G77" s="10" t="inlineStr">
        <is>
          <t>S2 Review</t>
        </is>
      </c>
    </row>
    <row r="78" ht="22" customHeight="1">
      <c r="A78" s="25" t="inlineStr"/>
      <c r="B78" s="5" t="inlineStr"/>
      <c r="C78" s="12" t="inlineStr"/>
      <c r="D78" s="7" t="inlineStr">
        <is>
          <t>• 验收 Sprint 2 交付</t>
        </is>
      </c>
      <c r="E78" s="13" t="inlineStr"/>
      <c r="F78" s="13" t="inlineStr"/>
      <c r="G78" s="13" t="inlineStr"/>
    </row>
    <row r="79" ht="22" customHeight="1">
      <c r="A79" s="71" t="inlineStr">
        <is>
          <t>Sprint 2</t>
        </is>
      </c>
      <c r="B79" s="62" t="inlineStr">
        <is>
          <t>W5</t>
        </is>
      </c>
      <c r="C79" s="63" t="inlineStr">
        <is>
          <t>B·架构+开发</t>
        </is>
      </c>
      <c r="D79" s="64" t="inlineStr">
        <is>
          <t>• 冷热存储方案①：ADLS 分层设计（SERVE=Hot / RAW·LAKE=Cool / 到期归档=Cold）</t>
        </is>
      </c>
      <c r="E79" s="65" t="inlineStr">
        <is>
          <t>分层策略上线 Dev；生命周期规则生效；附件预览提测</t>
        </is>
      </c>
      <c r="F79" s="66" t="inlineStr"/>
      <c r="G79" s="67" t="inlineStr">
        <is>
          <t>Daily Standup</t>
        </is>
      </c>
    </row>
    <row r="80" ht="22" customHeight="1">
      <c r="A80" s="68" t="n"/>
      <c r="B80" s="68" t="n"/>
      <c r="C80" s="69" t="n"/>
      <c r="D80" s="64" t="inlineStr">
        <is>
          <t>• 冷热存储方案②：生命周期管理规则（30 天降 Cool、90 天降 Cold、附件独立策略）（Azure CLI 落地）</t>
        </is>
      </c>
      <c r="E80" s="68" t="n"/>
      <c r="F80" s="68" t="n"/>
      <c r="G80" s="68" t="n"/>
    </row>
    <row r="81" ht="22" customHeight="1">
      <c r="A81" s="68" t="n"/>
      <c r="B81" s="68" t="n"/>
      <c r="C81" s="69" t="n"/>
      <c r="D81" s="64" t="inlineStr">
        <is>
          <t>• 冷热存储方案③：存储成本监控报表（TB × 单价 → 月度趋势，写入元数据库）</t>
        </is>
      </c>
      <c r="E81" s="68" t="n"/>
      <c r="F81" s="68" t="n"/>
      <c r="G81" s="68" t="n"/>
    </row>
    <row r="82" ht="22" customHeight="1">
      <c r="A82" s="68" t="n"/>
      <c r="B82" s="68" t="n"/>
      <c r="C82" s="69" t="n"/>
      <c r="D82" s="64" t="inlineStr">
        <is>
          <t>• 前端功能：附件预览模块（图片/音频/视频 + SAS 直连）</t>
        </is>
      </c>
      <c r="E82" s="68" t="n"/>
      <c r="F82" s="68" t="n"/>
      <c r="G82" s="68" t="n"/>
    </row>
    <row r="83" ht="22" customHeight="1">
      <c r="A83" s="24" t="inlineStr">
        <is>
          <t>Sprint 2</t>
        </is>
      </c>
      <c r="B83" s="5" t="inlineStr">
        <is>
          <t>W5</t>
        </is>
      </c>
      <c r="C83" s="16" t="inlineStr">
        <is>
          <t>C·数据工程</t>
        </is>
      </c>
      <c r="D83" s="7" t="inlineStr">
        <is>
          <t>• CURATED：类型统一/SHA-256/分区归约</t>
        </is>
      </c>
      <c r="E83" s="8" t="inlineStr">
        <is>
          <t>四层转换 Jobs 跑通；SERVE 可查</t>
        </is>
      </c>
      <c r="F83" s="9" t="inlineStr">
        <is>
          <t>A 的层设计评审</t>
        </is>
      </c>
      <c r="G83" s="10" t="n"/>
    </row>
    <row r="84" ht="22" customHeight="1">
      <c r="A84" s="25" t="inlineStr"/>
      <c r="B84" s="5" t="inlineStr"/>
      <c r="C84" s="17" t="inlineStr"/>
      <c r="D84" s="7" t="inlineStr">
        <is>
          <t>• LAKE：建模+生命周期分区</t>
        </is>
      </c>
      <c r="E84" s="13" t="inlineStr"/>
      <c r="F84" s="13" t="inlineStr"/>
      <c r="G84" s="13" t="inlineStr"/>
    </row>
    <row r="85" ht="22" customHeight="1">
      <c r="A85" s="25" t="inlineStr"/>
      <c r="B85" s="5" t="inlineStr"/>
      <c r="C85" s="17" t="inlineStr"/>
      <c r="D85" s="7" t="inlineStr">
        <is>
          <t>• SERVE：物化+Z-Order</t>
        </is>
      </c>
      <c r="E85" s="13" t="inlineStr"/>
      <c r="F85" s="13" t="inlineStr"/>
      <c r="G85" s="13" t="inlineStr"/>
    </row>
    <row r="86" ht="22" customHeight="1">
      <c r="A86" s="25" t="inlineStr"/>
      <c r="B86" s="5" t="inlineStr"/>
      <c r="C86" s="17" t="inlineStr"/>
      <c r="D86" s="7" t="inlineStr">
        <is>
          <t>• 四层 Jobs（多 Task 依赖）</t>
        </is>
      </c>
      <c r="E86" s="13" t="inlineStr"/>
      <c r="F86" s="13" t="inlineStr"/>
      <c r="G86" s="13" t="inlineStr"/>
    </row>
    <row r="87" ht="22" customHeight="1">
      <c r="A87" s="24" t="inlineStr">
        <is>
          <t>Sprint 2</t>
        </is>
      </c>
      <c r="B87" s="5" t="inlineStr">
        <is>
          <t>W5</t>
        </is>
      </c>
      <c r="C87" s="18" t="inlineStr">
        <is>
          <t>D·全栈+DevOps</t>
        </is>
      </c>
      <c r="D87" s="7" t="inlineStr">
        <is>
          <t>• 前端配置化查询完善（动态列/排序/筛选联动）</t>
        </is>
      </c>
      <c r="E87" s="8" t="inlineStr">
        <is>
          <t>前端全功能可用；附件可预览</t>
        </is>
      </c>
      <c r="F87" s="9" t="inlineStr">
        <is>
          <t>B 的 SERVE 数据</t>
        </is>
      </c>
      <c r="G87" s="10" t="n"/>
    </row>
    <row r="88" ht="22" customHeight="1">
      <c r="A88" s="25" t="inlineStr"/>
      <c r="B88" s="5" t="inlineStr"/>
      <c r="C88" s="19" t="inlineStr"/>
      <c r="D88" s="7" t="inlineStr">
        <is>
          <t>• 附件预览：图片/音频/视频</t>
        </is>
      </c>
      <c r="E88" s="13" t="inlineStr"/>
      <c r="F88" s="13" t="inlineStr"/>
      <c r="G88" s="13" t="inlineStr"/>
    </row>
    <row r="89" ht="22" customHeight="1">
      <c r="A89" s="25" t="inlineStr"/>
      <c r="B89" s="5" t="inlineStr"/>
      <c r="C89" s="19" t="inlineStr"/>
      <c r="D89" s="7" t="inlineStr">
        <is>
          <t>• 权限渲染（无权限列隐藏）</t>
        </is>
      </c>
      <c r="E89" s="13" t="inlineStr"/>
      <c r="F89" s="13" t="inlineStr"/>
      <c r="G89" s="13" t="inlineStr"/>
    </row>
    <row r="90" ht="22" customHeight="1">
      <c r="A90" s="25" t="inlineStr"/>
      <c r="B90" s="5" t="inlineStr"/>
      <c r="C90" s="19" t="inlineStr"/>
      <c r="D90" s="7" t="inlineStr">
        <is>
          <t>• CI/CD 完善（多环境 Dev/Staging）</t>
        </is>
      </c>
      <c r="E90" s="13" t="inlineStr"/>
      <c r="F90" s="13" t="inlineStr"/>
      <c r="G90" s="13" t="inlineStr"/>
    </row>
    <row r="91" ht="22" customHeight="1">
      <c r="A91" s="24" t="inlineStr">
        <is>
          <t>Sprint 2</t>
        </is>
      </c>
      <c r="B91" s="5" t="inlineStr">
        <is>
          <t>W5</t>
        </is>
      </c>
      <c r="C91" s="20" t="inlineStr">
        <is>
          <t>E·QA+SLC文档</t>
        </is>
      </c>
      <c r="D91" s="7" t="inlineStr">
        <is>
          <t>• 功能测试用例扩充（50+ 场景）</t>
        </is>
      </c>
      <c r="E91" s="8" t="inlineStr">
        <is>
          <t>测试用例 50+；安全测试报告；安全层设计初稿</t>
        </is>
      </c>
      <c r="F91" s="9" t="inlineStr">
        <is>
          <t>C 的功能可用</t>
        </is>
      </c>
      <c r="G91" s="10" t="n"/>
    </row>
    <row r="92" ht="22" customHeight="1">
      <c r="A92" s="25" t="inlineStr"/>
      <c r="B92" s="5" t="inlineStr"/>
      <c r="C92" s="21" t="inlineStr"/>
      <c r="D92" s="7" t="inlineStr">
        <is>
          <t>• 自动化测试覆盖率 &gt;60%</t>
        </is>
      </c>
      <c r="E92" s="13" t="inlineStr"/>
      <c r="F92" s="13" t="inlineStr"/>
      <c r="G92" s="13" t="inlineStr"/>
    </row>
    <row r="93" ht="22" customHeight="1">
      <c r="A93" s="25" t="inlineStr"/>
      <c r="B93" s="5" t="inlineStr"/>
      <c r="C93" s="21" t="inlineStr"/>
      <c r="D93" s="7" t="inlineStr">
        <is>
          <t>• 安全测试（SQL 注入/XSS/越权）</t>
        </is>
      </c>
      <c r="E93" s="13" t="inlineStr"/>
      <c r="F93" s="13" t="inlineStr"/>
      <c r="G93" s="13" t="inlineStr"/>
    </row>
    <row r="94" ht="30" customHeight="1">
      <c r="A94" s="25" t="inlineStr"/>
      <c r="B94" s="5" t="inlineStr"/>
      <c r="C94" s="21" t="inlineStr"/>
      <c r="D94" s="7" t="inlineStr">
        <is>
          <t>• 详细设计：安全层（认证/授权/加密/审计 + 掩码函数时序图）</t>
        </is>
      </c>
      <c r="E94" s="13" t="inlineStr"/>
      <c r="F94" s="13" t="inlineStr"/>
      <c r="G94" s="13" t="inlineStr"/>
    </row>
    <row r="95" ht="22" customHeight="1">
      <c r="A95" s="24" t="inlineStr">
        <is>
          <t>Sprint 2</t>
        </is>
      </c>
      <c r="B95" s="5" t="inlineStr">
        <is>
          <t>W6</t>
        </is>
      </c>
      <c r="C95" s="6" t="inlineStr">
        <is>
          <t>A·需求(50%)</t>
        </is>
      </c>
      <c r="D95" s="7" t="inlineStr">
        <is>
          <t>• 第二系统选型协调（业务方确认+源库对接）</t>
        </is>
      </c>
      <c r="E95" s="8" t="inlineStr">
        <is>
          <t>第二系统确认</t>
        </is>
      </c>
      <c r="F95" s="9" t="n"/>
      <c r="G95" s="10" t="inlineStr">
        <is>
          <t>S3 Planning</t>
        </is>
      </c>
    </row>
    <row r="96" ht="22" customHeight="1">
      <c r="A96" s="25" t="inlineStr"/>
      <c r="B96" s="5" t="inlineStr"/>
      <c r="C96" s="12" t="inlineStr"/>
      <c r="D96" s="7" t="inlineStr">
        <is>
          <t>• 验收 Sprint 2 剩余项</t>
        </is>
      </c>
      <c r="E96" s="13" t="inlineStr"/>
      <c r="F96" s="13" t="inlineStr"/>
      <c r="G96" s="13" t="inlineStr"/>
    </row>
    <row r="97" ht="22" customHeight="1">
      <c r="A97" s="71" t="inlineStr">
        <is>
          <t>Sprint 2</t>
        </is>
      </c>
      <c r="B97" s="62" t="inlineStr">
        <is>
          <t>W6</t>
        </is>
      </c>
      <c r="C97" s="63" t="inlineStr">
        <is>
          <t>B·架构+开发</t>
        </is>
      </c>
      <c r="D97" s="64" t="inlineStr">
        <is>
          <t>• 冷热存储方案④：SERVE 物化策略（热表识别 → 物化任务 → Z-Order 排序）</t>
        </is>
      </c>
      <c r="E97" s="65" t="inlineStr">
        <is>
          <t>SERVE 物化 + Compaction 上线 Dev；JOIN 渲染提测</t>
        </is>
      </c>
      <c r="F97" s="66" t="inlineStr"/>
      <c r="G97" s="67" t="inlineStr">
        <is>
          <t>S2 Review；S3 Planning</t>
        </is>
      </c>
    </row>
    <row r="98" ht="22" customHeight="1">
      <c r="A98" s="68" t="n"/>
      <c r="B98" s="68" t="n"/>
      <c r="C98" s="69" t="n"/>
      <c r="D98" s="64" t="inlineStr">
        <is>
          <t>• 冷热存储方案⑤：Compaction 调度 Jobs（OPTIMIZE 定时 + 小文件阈值触发）</t>
        </is>
      </c>
      <c r="E98" s="68" t="n"/>
      <c r="F98" s="68" t="n"/>
      <c r="G98" s="68" t="n"/>
    </row>
    <row r="99" ht="22" customHeight="1">
      <c r="A99" s="68" t="n"/>
      <c r="B99" s="68" t="n"/>
      <c r="C99" s="69" t="n"/>
      <c r="D99" s="64" t="inlineStr">
        <is>
          <t>• 前端功能：多表 JOIN 动态渲染（query_join → 动态 SQL → 联表结果）</t>
        </is>
      </c>
      <c r="E99" s="68" t="n"/>
      <c r="F99" s="68" t="n"/>
      <c r="G99" s="68" t="n"/>
    </row>
    <row r="100" ht="22" customHeight="1">
      <c r="A100" s="68" t="n"/>
      <c r="B100" s="68" t="n"/>
      <c r="C100" s="69" t="n"/>
      <c r="D100" s="64" t="inlineStr">
        <is>
          <t>• Sprint 2 权限/存储架构支撑与评审</t>
        </is>
      </c>
      <c r="E100" s="68" t="n"/>
      <c r="F100" s="68" t="n"/>
      <c r="G100" s="68" t="n"/>
    </row>
    <row r="101" ht="22" customHeight="1">
      <c r="A101" s="24" t="inlineStr">
        <is>
          <t>Sprint 2</t>
        </is>
      </c>
      <c r="B101" s="5" t="inlineStr">
        <is>
          <t>W6</t>
        </is>
      </c>
      <c r="C101" s="16" t="inlineStr">
        <is>
          <t>C·数据工程</t>
        </is>
      </c>
      <c r="D101" s="7" t="inlineStr">
        <is>
          <t>• 附件：Storage Mover + attachment_index + SHA-256</t>
        </is>
      </c>
      <c r="E101" s="8" t="inlineStr">
        <is>
          <t>附件端到端；掩码查询正常</t>
        </is>
      </c>
      <c r="F101" s="9" t="inlineStr">
        <is>
          <t>Storage Mover 网络</t>
        </is>
      </c>
      <c r="G101" s="10" t="inlineStr">
        <is>
          <t>Sprint 2 Review</t>
        </is>
      </c>
    </row>
    <row r="102" ht="22" customHeight="1">
      <c r="A102" s="25" t="inlineStr"/>
      <c r="B102" s="5" t="inlineStr"/>
      <c r="C102" s="17" t="inlineStr"/>
      <c r="D102" s="7" t="inlineStr">
        <is>
          <t>• UC 掩码函数部署</t>
        </is>
      </c>
      <c r="E102" s="13" t="inlineStr"/>
      <c r="F102" s="13" t="inlineStr"/>
      <c r="G102" s="13" t="inlineStr"/>
    </row>
    <row r="103" ht="22" customHeight="1">
      <c r="A103" s="25" t="inlineStr"/>
      <c r="B103" s="5" t="inlineStr"/>
      <c r="C103" s="17" t="inlineStr"/>
      <c r="D103" s="7" t="inlineStr">
        <is>
          <t>• Compaction/VACUUM 定时</t>
        </is>
      </c>
      <c r="E103" s="13" t="inlineStr"/>
      <c r="F103" s="13" t="inlineStr"/>
      <c r="G103" s="13" t="inlineStr"/>
    </row>
    <row r="104" ht="22" customHeight="1">
      <c r="A104" s="25" t="inlineStr"/>
      <c r="B104" s="5" t="inlineStr"/>
      <c r="C104" s="17" t="inlineStr"/>
      <c r="D104" s="7" t="inlineStr">
        <is>
          <t>• 性能优化</t>
        </is>
      </c>
      <c r="E104" s="13" t="inlineStr"/>
      <c r="F104" s="13" t="inlineStr"/>
      <c r="G104" s="13" t="inlineStr"/>
    </row>
    <row r="105" ht="22" customHeight="1">
      <c r="A105" s="24" t="inlineStr">
        <is>
          <t>Sprint 2</t>
        </is>
      </c>
      <c r="B105" s="5" t="inlineStr">
        <is>
          <t>W6</t>
        </is>
      </c>
      <c r="C105" s="18" t="inlineStr">
        <is>
          <t>D·全栈+DevOps</t>
        </is>
      </c>
      <c r="D105" s="7" t="inlineStr">
        <is>
          <t>• 多表 JOIN（query_join→动态 SQL）</t>
        </is>
      </c>
      <c r="E105" s="8" t="inlineStr">
        <is>
          <t>JOIN+下钻+掩码隐藏全部可用</t>
        </is>
      </c>
      <c r="F105" s="9" t="n"/>
      <c r="G105" s="10" t="inlineStr">
        <is>
          <t>Sprint 2 Review</t>
        </is>
      </c>
    </row>
    <row r="106" ht="22" customHeight="1">
      <c r="A106" s="25" t="inlineStr"/>
      <c r="B106" s="5" t="inlineStr"/>
      <c r="C106" s="19" t="inlineStr"/>
      <c r="D106" s="7" t="inlineStr">
        <is>
          <t>• 下钻（drill_config→父子导航）</t>
        </is>
      </c>
      <c r="E106" s="13" t="inlineStr"/>
      <c r="F106" s="13" t="inlineStr"/>
      <c r="G106" s="13" t="inlineStr"/>
    </row>
    <row r="107" ht="22" customHeight="1">
      <c r="A107" s="25" t="inlineStr"/>
      <c r="B107" s="5" t="inlineStr"/>
      <c r="C107" s="19" t="inlineStr"/>
      <c r="D107" s="7" t="inlineStr">
        <is>
          <t>• 导出完善</t>
        </is>
      </c>
      <c r="E107" s="13" t="inlineStr"/>
      <c r="F107" s="13" t="inlineStr"/>
      <c r="G107" s="13" t="inlineStr"/>
    </row>
    <row r="108" ht="22" customHeight="1">
      <c r="A108" s="25" t="inlineStr"/>
      <c r="B108" s="5" t="inlineStr"/>
      <c r="C108" s="19" t="inlineStr"/>
      <c r="D108" s="7" t="inlineStr">
        <is>
          <t>• Bug 修复</t>
        </is>
      </c>
      <c r="E108" s="13" t="inlineStr"/>
      <c r="F108" s="13" t="inlineStr"/>
      <c r="G108" s="13" t="inlineStr"/>
    </row>
    <row r="109" ht="22" customHeight="1">
      <c r="A109" s="24" t="inlineStr">
        <is>
          <t>Sprint 2</t>
        </is>
      </c>
      <c r="B109" s="5" t="inlineStr">
        <is>
          <t>W6</t>
        </is>
      </c>
      <c r="C109" s="20" t="inlineStr">
        <is>
          <t>E·QA+SLC文档</t>
        </is>
      </c>
      <c r="D109" s="7" t="inlineStr">
        <is>
          <t>• 功能测试全量执行</t>
        </is>
      </c>
      <c r="E109" s="8" t="inlineStr">
        <is>
          <t>性能报告；详细设计 3 模块合稿</t>
        </is>
      </c>
      <c r="F109" s="9" t="inlineStr">
        <is>
          <t>性能数据由 B 准备</t>
        </is>
      </c>
      <c r="G109" s="10" t="inlineStr">
        <is>
          <t>Sprint 2 Review</t>
        </is>
      </c>
    </row>
    <row r="110" ht="22" customHeight="1">
      <c r="A110" s="25" t="inlineStr"/>
      <c r="B110" s="5" t="inlineStr"/>
      <c r="C110" s="21" t="inlineStr"/>
      <c r="D110" s="7" t="inlineStr">
        <is>
          <t>• 性能测试（100 万行 P95&lt;5s）</t>
        </is>
      </c>
      <c r="E110" s="13" t="inlineStr"/>
      <c r="F110" s="13" t="inlineStr"/>
      <c r="G110" s="13" t="inlineStr"/>
    </row>
    <row r="111" ht="22" customHeight="1">
      <c r="A111" s="25" t="inlineStr"/>
      <c r="B111" s="5" t="inlineStr"/>
      <c r="C111" s="21" t="inlineStr"/>
      <c r="D111" s="7" t="inlineStr">
        <is>
          <t>• 详细设计终稿（3 模块合稿：应用+数据+安全）</t>
        </is>
      </c>
      <c r="E111" s="13" t="inlineStr"/>
      <c r="F111" s="13" t="inlineStr"/>
      <c r="G111" s="13" t="inlineStr"/>
    </row>
    <row r="112" ht="22" customHeight="1">
      <c r="A112" s="25" t="inlineStr"/>
      <c r="B112" s="5" t="inlineStr"/>
      <c r="C112" s="21" t="inlineStr"/>
      <c r="D112" s="7" t="inlineStr">
        <is>
          <t>• 接口文档完善</t>
        </is>
      </c>
      <c r="E112" s="13" t="inlineStr"/>
      <c r="F112" s="13" t="inlineStr"/>
      <c r="G112" s="13" t="inlineStr"/>
    </row>
    <row r="113" ht="22" customHeight="1">
      <c r="A113" s="25" t="inlineStr"/>
      <c r="B113" s="5" t="inlineStr"/>
      <c r="C113" s="21" t="inlineStr"/>
      <c r="D113" s="7" t="inlineStr">
        <is>
          <t>• Sprint 2 测试报告</t>
        </is>
      </c>
      <c r="E113" s="13" t="inlineStr"/>
      <c r="F113" s="13" t="inlineStr"/>
      <c r="G113" s="13" t="inlineStr"/>
    </row>
    <row r="114" ht="22" customHeight="1">
      <c r="A114" s="26" t="inlineStr">
        <is>
          <t>Sprint 3</t>
        </is>
      </c>
      <c r="B114" s="5" t="inlineStr">
        <is>
          <t>W7</t>
        </is>
      </c>
      <c r="C114" s="6" t="inlineStr">
        <is>
          <t>A·需求(50%)</t>
        </is>
      </c>
      <c r="D114" s="7" t="inlineStr">
        <is>
          <t>• 验收 Sprint 3 交付（销毁流程对照合规要求）</t>
        </is>
      </c>
      <c r="E114" s="8" t="inlineStr">
        <is>
          <t>S3 验收记录；UAT 脚本初稿</t>
        </is>
      </c>
      <c r="F114" s="9" t="inlineStr">
        <is>
          <t>法务保留期底线</t>
        </is>
      </c>
      <c r="G114" s="10" t="inlineStr">
        <is>
          <t>Daily Standup</t>
        </is>
      </c>
    </row>
    <row r="115" ht="22" customHeight="1">
      <c r="A115" s="27" t="inlineStr"/>
      <c r="B115" s="5" t="inlineStr"/>
      <c r="C115" s="12" t="inlineStr"/>
      <c r="D115" s="7" t="inlineStr">
        <is>
          <t>• UAT 场景脚本初稿</t>
        </is>
      </c>
      <c r="E115" s="13" t="inlineStr"/>
      <c r="F115" s="13" t="inlineStr"/>
      <c r="G115" s="13" t="inlineStr"/>
    </row>
    <row r="116" ht="22" customHeight="1">
      <c r="A116" s="72" t="inlineStr">
        <is>
          <t>Sprint 3</t>
        </is>
      </c>
      <c r="B116" s="62" t="inlineStr">
        <is>
          <t>W7</t>
        </is>
      </c>
      <c r="C116" s="63" t="inlineStr">
        <is>
          <t>B·架构+开发</t>
        </is>
      </c>
      <c r="D116" s="64" t="inlineStr">
        <is>
          <t>• 角色权限收尾①：行级权限验证（按系统/部门数据隔离，跨系统越权测试）</t>
        </is>
      </c>
      <c r="E116" s="65" t="inlineStr">
        <is>
          <t>行级隔离测试通过；Retention API 提测</t>
        </is>
      </c>
      <c r="F116" s="66" t="inlineStr">
        <is>
          <t>法务保留期底线</t>
        </is>
      </c>
      <c r="G116" s="67" t="inlineStr">
        <is>
          <t>Daily Standup</t>
        </is>
      </c>
    </row>
    <row r="117" ht="22" customHeight="1">
      <c r="A117" s="68" t="n"/>
      <c r="B117" s="68" t="n"/>
      <c r="C117" s="69" t="n"/>
      <c r="D117" s="64" t="inlineStr">
        <is>
          <t>• Retention 后端 API：策略 CRUD + 到期计算引擎 + 审批流转接口</t>
        </is>
      </c>
      <c r="E117" s="68" t="n"/>
      <c r="F117" s="68" t="n"/>
      <c r="G117" s="68" t="n"/>
    </row>
    <row r="118" ht="22" customHeight="1">
      <c r="A118" s="68" t="n"/>
      <c r="B118" s="68" t="n"/>
      <c r="C118" s="69" t="n"/>
      <c r="D118" s="64" t="inlineStr">
        <is>
          <t>• Monitor 告警规则落地（Job 失败/查询超时/存储阈值/权限变更审计）</t>
        </is>
      </c>
      <c r="E118" s="68" t="n"/>
      <c r="F118" s="68" t="n"/>
      <c r="G118" s="68" t="n"/>
    </row>
    <row r="119" ht="22" customHeight="1">
      <c r="A119" s="68" t="n"/>
      <c r="B119" s="68" t="n"/>
      <c r="C119" s="69" t="n"/>
      <c r="D119" s="64" t="inlineStr">
        <is>
          <t>• 第二系统源库协调（账号/网络/表结构清单）</t>
        </is>
      </c>
      <c r="E119" s="68" t="n"/>
      <c r="F119" s="68" t="n"/>
      <c r="G119" s="68" t="n"/>
    </row>
    <row r="120" ht="22" customHeight="1">
      <c r="A120" s="26" t="inlineStr">
        <is>
          <t>Sprint 3</t>
        </is>
      </c>
      <c r="B120" s="5" t="inlineStr">
        <is>
          <t>W7</t>
        </is>
      </c>
      <c r="C120" s="16" t="inlineStr">
        <is>
          <t>C·数据工程</t>
        </is>
      </c>
      <c r="D120" s="7" t="inlineStr">
        <is>
          <t>• 到期扫描 Job</t>
        </is>
      </c>
      <c r="E120" s="8" t="inlineStr">
        <is>
          <t>测试环境完整销毁回路跑通</t>
        </is>
      </c>
      <c r="F120" s="9" t="n"/>
      <c r="G120" s="10" t="n"/>
    </row>
    <row r="121" ht="22" customHeight="1">
      <c r="A121" s="27" t="inlineStr"/>
      <c r="B121" s="5" t="inlineStr"/>
      <c r="C121" s="17" t="inlineStr"/>
      <c r="D121" s="7" t="inlineStr">
        <is>
          <t>• DROP PARTITION + VACUUM（Databricks 原生 cron）</t>
        </is>
      </c>
      <c r="E121" s="13" t="inlineStr"/>
      <c r="F121" s="13" t="inlineStr"/>
      <c r="G121" s="13" t="inlineStr"/>
    </row>
    <row r="122" ht="22" customHeight="1">
      <c r="A122" s="27" t="inlineStr"/>
      <c r="B122" s="5" t="inlineStr"/>
      <c r="C122" s="17" t="inlineStr"/>
      <c r="D122" s="7" t="inlineStr">
        <is>
          <t>• 销毁结果回写 + 审计</t>
        </is>
      </c>
      <c r="E122" s="13" t="inlineStr"/>
      <c r="F122" s="13" t="inlineStr"/>
      <c r="G122" s="13" t="inlineStr"/>
    </row>
    <row r="123" ht="22" customHeight="1">
      <c r="A123" s="27" t="inlineStr"/>
      <c r="B123" s="5" t="inlineStr"/>
      <c r="C123" s="17" t="inlineStr"/>
      <c r="D123" s="7" t="inlineStr">
        <is>
          <t>• 通知集成</t>
        </is>
      </c>
      <c r="E123" s="13" t="inlineStr"/>
      <c r="F123" s="13" t="inlineStr"/>
      <c r="G123" s="13" t="inlineStr"/>
    </row>
    <row r="124" ht="22" customHeight="1">
      <c r="A124" s="26" t="inlineStr">
        <is>
          <t>Sprint 3</t>
        </is>
      </c>
      <c r="B124" s="5" t="inlineStr">
        <is>
          <t>W7</t>
        </is>
      </c>
      <c r="C124" s="18" t="inlineStr">
        <is>
          <t>D·全栈+DevOps</t>
        </is>
      </c>
      <c r="D124" s="7" t="inlineStr">
        <is>
          <t>• Retention 策略配置界面</t>
        </is>
      </c>
      <c r="E124" s="8" t="inlineStr">
        <is>
          <t>Retention 全流程 UI 可操作</t>
        </is>
      </c>
      <c r="F124" s="9" t="inlineStr">
        <is>
          <t>B 的销毁 Job</t>
        </is>
      </c>
      <c r="G124" s="10" t="n"/>
    </row>
    <row r="125" ht="22" customHeight="1">
      <c r="A125" s="27" t="inlineStr"/>
      <c r="B125" s="5" t="inlineStr"/>
      <c r="C125" s="19" t="inlineStr"/>
      <c r="D125" s="7" t="inlineStr">
        <is>
          <t>• 销毁审批界面</t>
        </is>
      </c>
      <c r="E125" s="13" t="inlineStr"/>
      <c r="F125" s="13" t="inlineStr"/>
      <c r="G125" s="13" t="inlineStr"/>
    </row>
    <row r="126" ht="22" customHeight="1">
      <c r="A126" s="27" t="inlineStr"/>
      <c r="B126" s="5" t="inlineStr"/>
      <c r="C126" s="19" t="inlineStr"/>
      <c r="D126" s="7" t="inlineStr">
        <is>
          <t>• 通知中心（站内+邮件）</t>
        </is>
      </c>
      <c r="E126" s="13" t="inlineStr"/>
      <c r="F126" s="13" t="inlineStr"/>
      <c r="G126" s="13" t="inlineStr"/>
    </row>
    <row r="127" ht="22" customHeight="1">
      <c r="A127" s="27" t="inlineStr"/>
      <c r="B127" s="5" t="inlineStr"/>
      <c r="C127" s="19" t="inlineStr"/>
      <c r="D127" s="7" t="inlineStr">
        <is>
          <t>• Dashboard（同步活跃度图表）</t>
        </is>
      </c>
      <c r="E127" s="13" t="inlineStr"/>
      <c r="F127" s="13" t="inlineStr"/>
      <c r="G127" s="13" t="inlineStr"/>
    </row>
    <row r="128" ht="22" customHeight="1">
      <c r="A128" s="26" t="inlineStr">
        <is>
          <t>Sprint 3</t>
        </is>
      </c>
      <c r="B128" s="5" t="inlineStr">
        <is>
          <t>W7</t>
        </is>
      </c>
      <c r="C128" s="20" t="inlineStr">
        <is>
          <t>E·QA+SLC文档</t>
        </is>
      </c>
      <c r="D128" s="7" t="inlineStr">
        <is>
          <t>• 销毁流程 E2E 测试</t>
        </is>
      </c>
      <c r="E128" s="8" t="inlineStr">
        <is>
          <t>销毁 E2E 报告；用户手册初稿（50% 完成）</t>
        </is>
      </c>
      <c r="F128" s="9" t="n"/>
      <c r="G128" s="10" t="n"/>
    </row>
    <row r="129" ht="22" customHeight="1">
      <c r="A129" s="27" t="inlineStr"/>
      <c r="B129" s="5" t="inlineStr"/>
      <c r="C129" s="21" t="inlineStr"/>
      <c r="D129" s="7" t="inlineStr">
        <is>
          <t>• 通知功能测试</t>
        </is>
      </c>
      <c r="E129" s="13" t="inlineStr"/>
      <c r="F129" s="13" t="inlineStr"/>
      <c r="G129" s="13" t="inlineStr"/>
    </row>
    <row r="130" ht="22" customHeight="1">
      <c r="A130" s="27" t="inlineStr"/>
      <c r="B130" s="5" t="inlineStr"/>
      <c r="C130" s="21" t="inlineStr"/>
      <c r="D130" s="7" t="inlineStr">
        <is>
          <t>• Dashboard 数据验证</t>
        </is>
      </c>
      <c r="E130" s="13" t="inlineStr"/>
      <c r="F130" s="13" t="inlineStr"/>
      <c r="G130" s="13" t="inlineStr"/>
    </row>
    <row r="131" ht="22" customHeight="1">
      <c r="A131" s="27" t="inlineStr"/>
      <c r="B131" s="5" t="inlineStr"/>
      <c r="C131" s="21" t="inlineStr"/>
      <c r="D131" s="7" t="inlineStr">
        <is>
          <t>• 用户手册初稿（含截图 30+）</t>
        </is>
      </c>
      <c r="E131" s="13" t="inlineStr"/>
      <c r="F131" s="13" t="inlineStr"/>
      <c r="G131" s="13" t="inlineStr"/>
    </row>
    <row r="132" ht="22" customHeight="1">
      <c r="A132" s="27" t="inlineStr"/>
      <c r="B132" s="5" t="inlineStr"/>
      <c r="C132" s="21" t="inlineStr"/>
      <c r="D132" s="7" t="inlineStr">
        <is>
          <t>• 第二系统接入测试准备</t>
        </is>
      </c>
      <c r="E132" s="13" t="inlineStr"/>
      <c r="F132" s="13" t="inlineStr"/>
      <c r="G132" s="13" t="inlineStr"/>
    </row>
    <row r="133" ht="22" customHeight="1">
      <c r="A133" s="26" t="inlineStr">
        <is>
          <t>Sprint 3</t>
        </is>
      </c>
      <c r="B133" s="5" t="inlineStr">
        <is>
          <t>W8</t>
        </is>
      </c>
      <c r="C133" s="6" t="inlineStr">
        <is>
          <t>A·需求(50%)</t>
        </is>
      </c>
      <c r="D133" s="7" t="inlineStr">
        <is>
          <t>• UAT 场景脚本定稿（5 场景+步骤+期望结果）</t>
        </is>
      </c>
      <c r="E133" s="8" t="inlineStr">
        <is>
          <t>UAT 脚本定稿</t>
        </is>
      </c>
      <c r="F133" s="9" t="n"/>
      <c r="G133" s="10" t="inlineStr">
        <is>
          <t>S4 Planning</t>
        </is>
      </c>
    </row>
    <row r="134" ht="22" customHeight="1">
      <c r="A134" s="27" t="inlineStr"/>
      <c r="B134" s="5" t="inlineStr"/>
      <c r="C134" s="12" t="inlineStr"/>
      <c r="D134" s="7" t="inlineStr">
        <is>
          <t>• 验收 Sprint 3 剩余项</t>
        </is>
      </c>
      <c r="E134" s="13" t="inlineStr"/>
      <c r="F134" s="13" t="inlineStr"/>
      <c r="G134" s="13" t="inlineStr"/>
    </row>
    <row r="135" ht="22" customHeight="1">
      <c r="A135" s="72" t="inlineStr">
        <is>
          <t>Sprint 3</t>
        </is>
      </c>
      <c r="B135" s="62" t="inlineStr">
        <is>
          <t>W8</t>
        </is>
      </c>
      <c r="C135" s="63" t="inlineStr">
        <is>
          <t>B·架构+开发</t>
        </is>
      </c>
      <c r="D135" s="64" t="inlineStr">
        <is>
          <t>• 前端功能：Retention 策略配置界面 + 销毁审批界面（含通知集成）</t>
        </is>
      </c>
      <c r="E135" s="65" t="inlineStr">
        <is>
          <t>第二系统接入 &lt;2h（含权限/存储配置）</t>
        </is>
      </c>
      <c r="F135" s="66" t="inlineStr">
        <is>
          <t>第二系统账号</t>
        </is>
      </c>
      <c r="G135" s="67" t="inlineStr">
        <is>
          <t>S3 Review；S4 Planning</t>
        </is>
      </c>
    </row>
    <row r="136" ht="22" customHeight="1">
      <c r="A136" s="68" t="n"/>
      <c r="B136" s="68" t="n"/>
      <c r="C136" s="69" t="n"/>
      <c r="D136" s="64" t="inlineStr">
        <is>
          <t>• 第二系统零代码接入验证：权限矩阵 + 存储分层 + 生命周期策略全套走一遍</t>
        </is>
      </c>
      <c r="E136" s="68" t="n"/>
      <c r="F136" s="68" t="n"/>
      <c r="G136" s="68" t="n"/>
    </row>
    <row r="137" ht="22" customHeight="1">
      <c r="A137" s="68" t="n"/>
      <c r="B137" s="68" t="n"/>
      <c r="C137" s="69" t="n"/>
      <c r="D137" s="64" t="inlineStr">
        <is>
          <t>• 集成测试统筹（两系统联邦 + 权限 + 存储三维度）</t>
        </is>
      </c>
      <c r="E137" s="68" t="n"/>
      <c r="F137" s="68" t="n"/>
      <c r="G137" s="68" t="n"/>
    </row>
    <row r="138" ht="22" customHeight="1">
      <c r="A138" s="68" t="n"/>
      <c r="B138" s="68" t="n"/>
      <c r="C138" s="69" t="n"/>
      <c r="D138" s="64" t="inlineStr">
        <is>
          <t>• Sprint 3 代码评审与架构支撑</t>
        </is>
      </c>
      <c r="E138" s="68" t="n"/>
      <c r="F138" s="68" t="n"/>
      <c r="G138" s="68" t="n"/>
    </row>
    <row r="139" ht="22" customHeight="1">
      <c r="A139" s="26" t="inlineStr">
        <is>
          <t>Sprint 3</t>
        </is>
      </c>
      <c r="B139" s="5" t="inlineStr">
        <is>
          <t>W8</t>
        </is>
      </c>
      <c r="C139" s="16" t="inlineStr">
        <is>
          <t>C·数据工程</t>
        </is>
      </c>
      <c r="D139" s="7" t="inlineStr">
        <is>
          <t>• 第二系统 +四层+SERVE</t>
        </is>
      </c>
      <c r="E139" s="8" t="inlineStr">
        <is>
          <t>第二系统端到端可查</t>
        </is>
      </c>
      <c r="F139" s="9" t="n"/>
      <c r="G139" s="10" t="inlineStr">
        <is>
          <t>Sprint 3 Review</t>
        </is>
      </c>
    </row>
    <row r="140" ht="22" customHeight="1">
      <c r="A140" s="27" t="inlineStr"/>
      <c r="B140" s="5" t="inlineStr"/>
      <c r="C140" s="17" t="inlineStr"/>
      <c r="D140" s="7" t="inlineStr">
        <is>
          <t>• 两系统联邦查询</t>
        </is>
      </c>
      <c r="E140" s="13" t="inlineStr"/>
      <c r="F140" s="13" t="inlineStr"/>
      <c r="G140" s="13" t="inlineStr"/>
    </row>
    <row r="141" ht="22" customHeight="1">
      <c r="A141" s="27" t="inlineStr"/>
      <c r="B141" s="5" t="inlineStr"/>
      <c r="C141" s="17" t="inlineStr"/>
      <c r="D141" s="7" t="inlineStr">
        <is>
          <t>• 性能调优</t>
        </is>
      </c>
      <c r="E141" s="13" t="inlineStr"/>
      <c r="F141" s="13" t="inlineStr"/>
      <c r="G141" s="13" t="inlineStr"/>
    </row>
    <row r="142" ht="22" customHeight="1">
      <c r="A142" s="26" t="inlineStr">
        <is>
          <t>Sprint 3</t>
        </is>
      </c>
      <c r="B142" s="5" t="inlineStr">
        <is>
          <t>W8</t>
        </is>
      </c>
      <c r="C142" s="18" t="inlineStr">
        <is>
          <t>D·全栈+DevOps</t>
        </is>
      </c>
      <c r="D142" s="7" t="inlineStr">
        <is>
          <t>• 第二系统前端配置（零代码）</t>
        </is>
      </c>
      <c r="E142" s="8" t="inlineStr">
        <is>
          <t>第二系统查询页零代码上线</t>
        </is>
      </c>
      <c r="F142" s="9" t="n"/>
      <c r="G142" s="10" t="inlineStr">
        <is>
          <t>Sprint 3 Review</t>
        </is>
      </c>
    </row>
    <row r="143" ht="22" customHeight="1">
      <c r="A143" s="27" t="inlineStr"/>
      <c r="B143" s="5" t="inlineStr"/>
      <c r="C143" s="19" t="inlineStr"/>
      <c r="D143" s="7" t="inlineStr">
        <is>
          <t>• 跨系统联邦查询测试</t>
        </is>
      </c>
      <c r="E143" s="13" t="inlineStr"/>
      <c r="F143" s="13" t="inlineStr"/>
      <c r="G143" s="13" t="inlineStr"/>
    </row>
    <row r="144" ht="22" customHeight="1">
      <c r="A144" s="27" t="inlineStr"/>
      <c r="B144" s="5" t="inlineStr"/>
      <c r="C144" s="19" t="inlineStr"/>
      <c r="D144" s="7" t="inlineStr">
        <is>
          <t>• 前端性能优化</t>
        </is>
      </c>
      <c r="E144" s="13" t="inlineStr"/>
      <c r="F144" s="13" t="inlineStr"/>
      <c r="G144" s="13" t="inlineStr"/>
    </row>
    <row r="145" ht="22" customHeight="1">
      <c r="A145" s="27" t="inlineStr"/>
      <c r="B145" s="5" t="inlineStr"/>
      <c r="C145" s="19" t="inlineStr"/>
      <c r="D145" s="7" t="inlineStr">
        <is>
          <t>• Bug 修复</t>
        </is>
      </c>
      <c r="E145" s="13" t="inlineStr"/>
      <c r="F145" s="13" t="inlineStr"/>
      <c r="G145" s="13" t="inlineStr"/>
    </row>
    <row r="146" ht="22" customHeight="1">
      <c r="A146" s="26" t="inlineStr">
        <is>
          <t>Sprint 3</t>
        </is>
      </c>
      <c r="B146" s="5" t="inlineStr">
        <is>
          <t>W8</t>
        </is>
      </c>
      <c r="C146" s="20" t="inlineStr">
        <is>
          <t>E·QA+SLC文档</t>
        </is>
      </c>
      <c r="D146" s="7" t="inlineStr">
        <is>
          <t>• 全量回归测试（S1+S2+S3）</t>
        </is>
      </c>
      <c r="E146" s="8" t="inlineStr">
        <is>
          <t>回归全通过；用户手册 80%；运维手册初稿；数据字典初稿</t>
        </is>
      </c>
      <c r="F146" s="9" t="n"/>
      <c r="G146" s="10" t="inlineStr">
        <is>
          <t>Sprint 3 Review</t>
        </is>
      </c>
    </row>
    <row r="147" ht="22" customHeight="1">
      <c r="A147" s="27" t="inlineStr"/>
      <c r="B147" s="5" t="inlineStr"/>
      <c r="C147" s="21" t="inlineStr"/>
      <c r="D147" s="7" t="inlineStr">
        <is>
          <t>• 性能测试（20GB P95&lt;5s）</t>
        </is>
      </c>
      <c r="E147" s="13" t="inlineStr"/>
      <c r="F147" s="13" t="inlineStr"/>
      <c r="G147" s="13" t="inlineStr"/>
    </row>
    <row r="148" ht="30" customHeight="1">
      <c r="A148" s="27" t="inlineStr"/>
      <c r="B148" s="5" t="inlineStr"/>
      <c r="C148" s="21" t="inlineStr"/>
      <c r="D148" s="7" t="inlineStr">
        <is>
          <t>• 用户手册完善（80%）</t>
        </is>
      </c>
      <c r="E148" s="13" t="inlineStr"/>
      <c r="F148" s="13" t="inlineStr"/>
      <c r="G148" s="13" t="inlineStr"/>
    </row>
    <row r="149" ht="22" customHeight="1">
      <c r="A149" s="27" t="inlineStr"/>
      <c r="B149" s="5" t="inlineStr"/>
      <c r="C149" s="21" t="inlineStr"/>
      <c r="D149" s="7" t="inlineStr">
        <is>
          <t>• 运维手册初稿</t>
        </is>
      </c>
      <c r="E149" s="13" t="inlineStr"/>
      <c r="F149" s="13" t="inlineStr"/>
      <c r="G149" s="13" t="inlineStr"/>
    </row>
    <row r="150" ht="22" customHeight="1">
      <c r="A150" s="27" t="inlineStr"/>
      <c r="B150" s="5" t="inlineStr"/>
      <c r="C150" s="21" t="inlineStr"/>
      <c r="D150" s="7" t="inlineStr">
        <is>
          <t>• 数据字典初稿</t>
        </is>
      </c>
      <c r="E150" s="13" t="inlineStr"/>
      <c r="F150" s="13" t="inlineStr"/>
      <c r="G150" s="13" t="inlineStr"/>
    </row>
    <row r="151" ht="22" customHeight="1">
      <c r="A151" s="27" t="inlineStr"/>
      <c r="B151" s="5" t="inlineStr"/>
      <c r="C151" s="21" t="inlineStr"/>
      <c r="D151" s="7" t="inlineStr">
        <is>
          <t>• Sprint 3 测试报告</t>
        </is>
      </c>
      <c r="E151" s="13" t="inlineStr"/>
      <c r="F151" s="13" t="inlineStr"/>
      <c r="G151" s="13" t="inlineStr"/>
    </row>
    <row r="152" ht="22" customHeight="1">
      <c r="A152" s="27" t="inlineStr"/>
      <c r="B152" s="5" t="inlineStr"/>
      <c r="C152" s="21" t="inlineStr"/>
      <c r="D152" s="7" t="inlineStr">
        <is>
          <t>• UAT 场景脚本</t>
        </is>
      </c>
      <c r="E152" s="13" t="inlineStr"/>
      <c r="F152" s="13" t="inlineStr"/>
      <c r="G152" s="13" t="inlineStr"/>
    </row>
    <row r="153" ht="22" customHeight="1">
      <c r="A153" s="28" t="inlineStr">
        <is>
          <t>Sprint 4</t>
        </is>
      </c>
      <c r="B153" s="5" t="inlineStr">
        <is>
          <t>W9</t>
        </is>
      </c>
      <c r="C153" s="6" t="inlineStr">
        <is>
          <t>A·需求(50%)</t>
        </is>
      </c>
      <c r="D153" s="7" t="inlineStr">
        <is>
          <t>• UAT 组织协调（业务方排期+环境准备）</t>
        </is>
      </c>
      <c r="E153" s="8" t="inlineStr">
        <is>
          <t>UAT 排期确认；冻结声明</t>
        </is>
      </c>
      <c r="F153" s="9" t="inlineStr">
        <is>
          <t>业务方排期</t>
        </is>
      </c>
      <c r="G153" s="10" t="inlineStr">
        <is>
          <t>Daily Standup</t>
        </is>
      </c>
    </row>
    <row r="154" ht="22" customHeight="1">
      <c r="A154" s="29" t="inlineStr"/>
      <c r="B154" s="5" t="inlineStr"/>
      <c r="C154" s="12" t="inlineStr"/>
      <c r="D154" s="7" t="inlineStr">
        <is>
          <t>• 需求冻结（Scope Freeze）宣布</t>
        </is>
      </c>
      <c r="E154" s="13" t="inlineStr"/>
      <c r="F154" s="13" t="inlineStr"/>
      <c r="G154" s="13" t="inlineStr"/>
    </row>
    <row r="155" ht="22" customHeight="1">
      <c r="A155" s="73" t="inlineStr">
        <is>
          <t>Sprint 4</t>
        </is>
      </c>
      <c r="B155" s="62" t="inlineStr">
        <is>
          <t>W9</t>
        </is>
      </c>
      <c r="C155" s="63" t="inlineStr">
        <is>
          <t>B·架构+开发</t>
        </is>
      </c>
      <c r="D155" s="64" t="inlineStr">
        <is>
          <t>• 生产环境部署：UC 权限配置（SP + GRANT + 掩码函数）+ 存储分层 + 生命周期策略 apply</t>
        </is>
      </c>
      <c r="E155" s="65" t="inlineStr">
        <is>
          <t>生产权限/存储就绪；安全材料初稿</t>
        </is>
      </c>
      <c r="F155" s="66" t="inlineStr">
        <is>
          <t>生产订阅；证书</t>
        </is>
      </c>
      <c r="G155" s="67" t="inlineStr">
        <is>
          <t>Daily Standup</t>
        </is>
      </c>
    </row>
    <row r="156" ht="22" customHeight="1">
      <c r="A156" s="68" t="n"/>
      <c r="B156" s="68" t="n"/>
      <c r="C156" s="69" t="n"/>
      <c r="D156" s="64" t="inlineStr">
        <is>
          <t>• 生产角色初始化：Entra ID 组 ↔ UC 组 ↔ 服务主体绑定核对</t>
        </is>
      </c>
      <c r="E156" s="68" t="n"/>
      <c r="F156" s="68" t="n"/>
      <c r="G156" s="68" t="n"/>
    </row>
    <row r="157" ht="22" customHeight="1">
      <c r="A157" s="68" t="n"/>
      <c r="B157" s="68" t="n"/>
      <c r="C157" s="69" t="n"/>
      <c r="D157" s="64" t="inlineStr">
        <is>
          <t>• 安全评审材料：权限模型 / 加密 / 存储分层三部分技术说明</t>
        </is>
      </c>
      <c r="E157" s="68" t="n"/>
      <c r="F157" s="68" t="n"/>
      <c r="G157" s="68" t="n"/>
    </row>
    <row r="158" ht="22" customHeight="1">
      <c r="A158" s="68" t="n"/>
      <c r="B158" s="68" t="n"/>
      <c r="C158" s="69" t="n"/>
      <c r="D158" s="64" t="inlineStr">
        <is>
          <t>• 全量迁移方案定稿（分批策略 + 冷热表识别）</t>
        </is>
      </c>
      <c r="E158" s="68" t="n"/>
      <c r="F158" s="68" t="n"/>
      <c r="G158" s="68" t="n"/>
    </row>
    <row r="159" ht="22" customHeight="1">
      <c r="A159" s="28" t="inlineStr">
        <is>
          <t>Sprint 4</t>
        </is>
      </c>
      <c r="B159" s="5" t="inlineStr">
        <is>
          <t>W9</t>
        </is>
      </c>
      <c r="C159" s="16" t="inlineStr">
        <is>
          <t>C·数据工程</t>
        </is>
      </c>
      <c r="D159" s="7" t="inlineStr">
        <is>
          <t>• 首系统全量迁移执行（含对账）</t>
        </is>
      </c>
      <c r="E159" s="8" t="inlineStr">
        <is>
          <t>首系统全量入湖；对账通过</t>
        </is>
      </c>
      <c r="F159" s="9" t="inlineStr">
        <is>
          <t>生产环境就绪</t>
        </is>
      </c>
      <c r="G159" s="10" t="n"/>
    </row>
    <row r="160" ht="22" customHeight="1">
      <c r="A160" s="29" t="inlineStr"/>
      <c r="B160" s="5" t="inlineStr"/>
      <c r="C160" s="17" t="inlineStr"/>
      <c r="D160" s="7" t="inlineStr">
        <is>
          <t>• 生产 Jobs 部署</t>
        </is>
      </c>
      <c r="E160" s="13" t="inlineStr"/>
      <c r="F160" s="13" t="inlineStr"/>
      <c r="G160" s="13" t="inlineStr"/>
    </row>
    <row r="161" ht="22" customHeight="1">
      <c r="A161" s="29" t="inlineStr"/>
      <c r="B161" s="5" t="inlineStr"/>
      <c r="C161" s="17" t="inlineStr"/>
      <c r="D161" s="7" t="inlineStr">
        <is>
          <t>• 生产 UC 权限配置</t>
        </is>
      </c>
      <c r="E161" s="13" t="inlineStr"/>
      <c r="F161" s="13" t="inlineStr"/>
      <c r="G161" s="13" t="inlineStr"/>
    </row>
    <row r="162" ht="22" customHeight="1">
      <c r="A162" s="28" t="inlineStr">
        <is>
          <t>Sprint 4</t>
        </is>
      </c>
      <c r="B162" s="5" t="inlineStr">
        <is>
          <t>W9</t>
        </is>
      </c>
      <c r="C162" s="18" t="inlineStr">
        <is>
          <t>D·全栈+DevOps</t>
        </is>
      </c>
      <c r="D162" s="7" t="inlineStr">
        <is>
          <t>• 生产应用部署</t>
        </is>
      </c>
      <c r="E162" s="8" t="inlineStr">
        <is>
          <t>生产可访问；SSO 正常；查询可用</t>
        </is>
      </c>
      <c r="F162" s="9" t="inlineStr">
        <is>
          <t>生产域名</t>
        </is>
      </c>
      <c r="G162" s="10" t="n"/>
    </row>
    <row r="163" ht="22" customHeight="1">
      <c r="A163" s="29" t="inlineStr"/>
      <c r="B163" s="5" t="inlineStr"/>
      <c r="C163" s="19" t="inlineStr"/>
      <c r="D163" s="7" t="inlineStr">
        <is>
          <t>• 生产 SSO 配置</t>
        </is>
      </c>
      <c r="E163" s="13" t="inlineStr"/>
      <c r="F163" s="13" t="inlineStr"/>
      <c r="G163" s="13" t="inlineStr"/>
    </row>
    <row r="164" ht="22" customHeight="1">
      <c r="A164" s="29" t="inlineStr"/>
      <c r="B164" s="5" t="inlineStr"/>
      <c r="C164" s="19" t="inlineStr"/>
      <c r="D164" s="7" t="inlineStr">
        <is>
          <t>• 首系统查询页生产配置</t>
        </is>
      </c>
      <c r="E164" s="13" t="inlineStr"/>
      <c r="F164" s="13" t="inlineStr"/>
      <c r="G164" s="13" t="inlineStr"/>
    </row>
    <row r="165" ht="22" customHeight="1">
      <c r="A165" s="29" t="inlineStr"/>
      <c r="B165" s="5" t="inlineStr"/>
      <c r="C165" s="19" t="inlineStr"/>
      <c r="D165" s="7" t="inlineStr">
        <is>
          <t>• 性能监控接入</t>
        </is>
      </c>
      <c r="E165" s="13" t="inlineStr"/>
      <c r="F165" s="13" t="inlineStr"/>
      <c r="G165" s="13" t="inlineStr"/>
    </row>
    <row r="166" ht="22" customHeight="1">
      <c r="A166" s="28" t="inlineStr">
        <is>
          <t>Sprint 4</t>
        </is>
      </c>
      <c r="B166" s="5" t="inlineStr">
        <is>
          <t>W9</t>
        </is>
      </c>
      <c r="C166" s="20" t="inlineStr">
        <is>
          <t>E·QA+SLC文档</t>
        </is>
      </c>
      <c r="D166" s="7" t="inlineStr">
        <is>
          <t>• 文档冲刺启动：用户手册终版 + 运维手册终版 + 数据字典终版</t>
        </is>
      </c>
      <c r="E166" s="8" t="inlineStr">
        <is>
          <t>6 套文档进入终审（用户/运维/架构×4/详细设计/接口/数据字典）；审批材料初稿</t>
        </is>
      </c>
      <c r="F166" s="9" t="n"/>
      <c r="G166" s="10" t="n"/>
    </row>
    <row r="167" ht="22" customHeight="1">
      <c r="A167" s="29" t="inlineStr"/>
      <c r="B167" s="5" t="inlineStr"/>
      <c r="C167" s="21" t="inlineStr"/>
      <c r="D167" s="7" t="inlineStr">
        <is>
          <t>• 架构图终版（4 张全更新到生产实际）</t>
        </is>
      </c>
      <c r="E167" s="13" t="inlineStr"/>
      <c r="F167" s="13" t="inlineStr"/>
      <c r="G167" s="13" t="inlineStr"/>
    </row>
    <row r="168" ht="22" customHeight="1">
      <c r="A168" s="29" t="inlineStr"/>
      <c r="B168" s="5" t="inlineStr"/>
      <c r="C168" s="21" t="inlineStr"/>
      <c r="D168" s="7" t="inlineStr">
        <is>
          <t>• 详细设计终版</t>
        </is>
      </c>
      <c r="E168" s="13" t="inlineStr"/>
      <c r="F168" s="13" t="inlineStr"/>
      <c r="G168" s="13" t="inlineStr"/>
    </row>
    <row r="169" ht="22" customHeight="1">
      <c r="A169" s="29" t="inlineStr"/>
      <c r="B169" s="5" t="inlineStr"/>
      <c r="C169" s="21" t="inlineStr"/>
      <c r="D169" s="7" t="inlineStr">
        <is>
          <t>• 接口文档终版</t>
        </is>
      </c>
      <c r="E169" s="13" t="inlineStr"/>
      <c r="F169" s="13" t="inlineStr"/>
      <c r="G169" s="13" t="inlineStr"/>
    </row>
    <row r="170" ht="22" customHeight="1">
      <c r="A170" s="29" t="inlineStr"/>
      <c r="B170" s="5" t="inlineStr"/>
      <c r="C170" s="21" t="inlineStr"/>
      <c r="D170" s="7" t="inlineStr">
        <is>
          <t>• 审批材料包准备（技术方案/安全评估/合规对照/验收报告）</t>
        </is>
      </c>
      <c r="E170" s="13" t="inlineStr"/>
      <c r="F170" s="13" t="inlineStr"/>
      <c r="G170" s="13" t="inlineStr"/>
    </row>
    <row r="171" ht="22" customHeight="1">
      <c r="A171" s="28" t="inlineStr">
        <is>
          <t>Sprint 4</t>
        </is>
      </c>
      <c r="B171" s="5" t="inlineStr">
        <is>
          <t>W10</t>
        </is>
      </c>
      <c r="C171" s="6" t="inlineStr">
        <is>
          <t>A·需求(50%)</t>
        </is>
      </c>
      <c r="D171" s="7" t="inlineStr">
        <is>
          <t>• UAT 执行主持（5 场景走查+记录）</t>
        </is>
      </c>
      <c r="E171" s="8" t="inlineStr">
        <is>
          <t>UAT 报告（含签字）</t>
        </is>
      </c>
      <c r="F171" s="9" t="inlineStr">
        <is>
          <t>业务方参与</t>
        </is>
      </c>
      <c r="G171" s="10" t="inlineStr">
        <is>
          <t>S4 Review（UAT）</t>
        </is>
      </c>
    </row>
    <row r="172" ht="22" customHeight="1">
      <c r="A172" s="29" t="inlineStr"/>
      <c r="B172" s="5" t="inlineStr"/>
      <c r="C172" s="12" t="inlineStr"/>
      <c r="D172" s="7" t="inlineStr">
        <is>
          <t>• UAT 反馈分类（Bug/变更/澄清）</t>
        </is>
      </c>
      <c r="E172" s="13" t="inlineStr"/>
      <c r="F172" s="13" t="inlineStr"/>
      <c r="G172" s="13" t="inlineStr"/>
    </row>
    <row r="173" ht="22" customHeight="1">
      <c r="A173" s="73" t="inlineStr">
        <is>
          <t>Sprint 4</t>
        </is>
      </c>
      <c r="B173" s="62" t="inlineStr">
        <is>
          <t>W10</t>
        </is>
      </c>
      <c r="C173" s="63" t="inlineStr">
        <is>
          <t>B·架构+开发</t>
        </is>
      </c>
      <c r="D173" s="64" t="inlineStr">
        <is>
          <t>• UAT 支撑：权限/存储相关缺陷定位与修复</t>
        </is>
      </c>
      <c r="E173" s="65" t="inlineStr">
        <is>
          <t>UAT 权限/存储问题全关闭；审批材料提交</t>
        </is>
      </c>
      <c r="F173" s="66" t="inlineStr">
        <is>
          <t>审批方反馈</t>
        </is>
      </c>
      <c r="G173" s="67" t="inlineStr">
        <is>
          <t>S4 Review；S5 Planning</t>
        </is>
      </c>
    </row>
    <row r="174" ht="22" customHeight="1">
      <c r="A174" s="68" t="n"/>
      <c r="B174" s="68" t="n"/>
      <c r="C174" s="69" t="n"/>
      <c r="D174" s="64" t="inlineStr">
        <is>
          <t>• 审批文档技术部分定稿（架构图更新 + 权限/存储设计章节）</t>
        </is>
      </c>
      <c r="E174" s="68" t="n"/>
      <c r="F174" s="68" t="n"/>
      <c r="G174" s="68" t="n"/>
    </row>
    <row r="175" ht="22" customHeight="1">
      <c r="A175" s="68" t="n"/>
      <c r="B175" s="68" t="n"/>
      <c r="C175" s="69" t="n"/>
      <c r="D175" s="64" t="inlineStr">
        <is>
          <t>• 安全评审提交与答疑</t>
        </is>
      </c>
      <c r="E175" s="68" t="n"/>
      <c r="F175" s="68" t="n"/>
      <c r="G175" s="68" t="n"/>
    </row>
    <row r="176" ht="22" customHeight="1">
      <c r="A176" s="68" t="n"/>
      <c r="B176" s="68" t="n"/>
      <c r="C176" s="69" t="n"/>
      <c r="D176" s="64" t="inlineStr">
        <is>
          <t>• W11 上线技术准备（回退方案 + 权限/存储应急预案）</t>
        </is>
      </c>
      <c r="E176" s="68" t="n"/>
      <c r="F176" s="68" t="n"/>
      <c r="G176" s="68" t="n"/>
    </row>
    <row r="177" ht="22" customHeight="1">
      <c r="A177" s="28" t="inlineStr">
        <is>
          <t>Sprint 4</t>
        </is>
      </c>
      <c r="B177" s="5" t="inlineStr">
        <is>
          <t>W10</t>
        </is>
      </c>
      <c r="C177" s="16" t="inlineStr">
        <is>
          <t>C·数据工程</t>
        </is>
      </c>
      <c r="D177" s="7" t="inlineStr">
        <is>
          <t>• UAT 支撑</t>
        </is>
      </c>
      <c r="E177" s="8" t="inlineStr">
        <is>
          <t>UAT 数据问题全解决</t>
        </is>
      </c>
      <c r="F177" s="9" t="n"/>
      <c r="G177" s="10" t="inlineStr">
        <is>
          <t>Sprint 4 Review</t>
        </is>
      </c>
    </row>
    <row r="178" ht="22" customHeight="1">
      <c r="A178" s="29" t="inlineStr"/>
      <c r="B178" s="5" t="inlineStr"/>
      <c r="C178" s="17" t="inlineStr"/>
      <c r="D178" s="7" t="inlineStr">
        <is>
          <t>• 第二系统全量迁移准备</t>
        </is>
      </c>
      <c r="E178" s="13" t="inlineStr"/>
      <c r="F178" s="13" t="inlineStr"/>
      <c r="G178" s="13" t="inlineStr"/>
    </row>
    <row r="179" ht="22" customHeight="1">
      <c r="A179" s="29" t="inlineStr"/>
      <c r="B179" s="5" t="inlineStr"/>
      <c r="C179" s="17" t="inlineStr"/>
      <c r="D179" s="7" t="inlineStr">
        <is>
          <t>• 生产 Compaction 首次执行</t>
        </is>
      </c>
      <c r="E179" s="13" t="inlineStr"/>
      <c r="F179" s="13" t="inlineStr"/>
      <c r="G179" s="13" t="inlineStr"/>
    </row>
    <row r="180" ht="22" customHeight="1">
      <c r="A180" s="29" t="inlineStr"/>
      <c r="B180" s="5" t="inlineStr"/>
      <c r="C180" s="17" t="inlineStr"/>
      <c r="D180" s="7" t="inlineStr">
        <is>
          <t>• 销毁回路生产验证</t>
        </is>
      </c>
      <c r="E180" s="13" t="inlineStr"/>
      <c r="F180" s="13" t="inlineStr"/>
      <c r="G180" s="13" t="inlineStr"/>
    </row>
    <row r="181" ht="22" customHeight="1">
      <c r="A181" s="28" t="inlineStr">
        <is>
          <t>Sprint 4</t>
        </is>
      </c>
      <c r="B181" s="5" t="inlineStr">
        <is>
          <t>W10</t>
        </is>
      </c>
      <c r="C181" s="18" t="inlineStr">
        <is>
          <t>D·全栈+DevOps</t>
        </is>
      </c>
      <c r="D181" s="7" t="inlineStr">
        <is>
          <t>• UAT Bug 修复</t>
        </is>
      </c>
      <c r="E181" s="8" t="inlineStr">
        <is>
          <t>UAT Bug 全关闭；截图一致</t>
        </is>
      </c>
      <c r="F181" s="9" t="n"/>
      <c r="G181" s="10" t="inlineStr">
        <is>
          <t>Sprint 4 Review</t>
        </is>
      </c>
    </row>
    <row r="182" ht="22" customHeight="1">
      <c r="A182" s="29" t="inlineStr"/>
      <c r="B182" s="5" t="inlineStr"/>
      <c r="C182" s="19" t="inlineStr"/>
      <c r="D182" s="7" t="inlineStr">
        <is>
          <t>• 生产监控 Dashboard</t>
        </is>
      </c>
      <c r="E182" s="13" t="inlineStr"/>
      <c r="F182" s="13" t="inlineStr"/>
      <c r="G182" s="13" t="inlineStr"/>
    </row>
    <row r="183" ht="22" customHeight="1">
      <c r="A183" s="29" t="inlineStr"/>
      <c r="B183" s="5" t="inlineStr"/>
      <c r="C183" s="19" t="inlineStr"/>
      <c r="D183" s="7" t="inlineStr">
        <is>
          <t>• 性能微调</t>
        </is>
      </c>
      <c r="E183" s="13" t="inlineStr"/>
      <c r="F183" s="13" t="inlineStr"/>
      <c r="G183" s="13" t="inlineStr"/>
    </row>
    <row r="184" ht="22" customHeight="1">
      <c r="A184" s="29" t="inlineStr"/>
      <c r="B184" s="5" t="inlineStr"/>
      <c r="C184" s="19" t="inlineStr"/>
      <c r="D184" s="7" t="inlineStr">
        <is>
          <t>• 文档截图更新</t>
        </is>
      </c>
      <c r="E184" s="13" t="inlineStr"/>
      <c r="F184" s="13" t="inlineStr"/>
      <c r="G184" s="13" t="inlineStr"/>
    </row>
    <row r="185" ht="22" customHeight="1">
      <c r="A185" s="28" t="inlineStr">
        <is>
          <t>Sprint 4</t>
        </is>
      </c>
      <c r="B185" s="5" t="inlineStr">
        <is>
          <t>W10</t>
        </is>
      </c>
      <c r="C185" s="20" t="inlineStr">
        <is>
          <t>E·QA+SLC文档</t>
        </is>
      </c>
      <c r="D185" s="7" t="inlineStr">
        <is>
          <t>• UAT 执行协调 + 结果记录</t>
        </is>
      </c>
      <c r="E185" s="8" t="inlineStr">
        <is>
          <t>7 套文档终版；上线 Checklist 评审通过；培训 PPT + 演练脚本</t>
        </is>
      </c>
      <c r="F185" s="9" t="inlineStr">
        <is>
          <t>审批方反馈</t>
        </is>
      </c>
      <c r="G185" s="10" t="inlineStr">
        <is>
          <t>Sprint 4 Review</t>
        </is>
      </c>
    </row>
    <row r="186" ht="22" customHeight="1">
      <c r="A186" s="29" t="inlineStr"/>
      <c r="B186" s="5" t="inlineStr"/>
      <c r="C186" s="21" t="inlineStr"/>
      <c r="D186" s="7" t="inlineStr">
        <is>
          <t>• 文档终审（6 套 + 审批包 = 7 套）</t>
        </is>
      </c>
      <c r="E186" s="13" t="inlineStr"/>
      <c r="F186" s="13" t="inlineStr"/>
      <c r="G186" s="13" t="inlineStr"/>
    </row>
    <row r="187" ht="22" customHeight="1">
      <c r="A187" s="29" t="inlineStr"/>
      <c r="B187" s="5" t="inlineStr"/>
      <c r="C187" s="21" t="inlineStr"/>
      <c r="D187" s="7" t="inlineStr">
        <is>
          <t>• 上线 Checklist</t>
        </is>
      </c>
      <c r="E187" s="13" t="inlineStr"/>
      <c r="F187" s="13" t="inlineStr"/>
      <c r="G187" s="13" t="inlineStr"/>
    </row>
    <row r="188" ht="22" customHeight="1">
      <c r="A188" s="29" t="inlineStr"/>
      <c r="B188" s="5" t="inlineStr"/>
      <c r="C188" s="21" t="inlineStr"/>
      <c r="D188" s="7" t="inlineStr">
        <is>
          <t>• 培训材料（业务用户 + 运维团队）</t>
        </is>
      </c>
      <c r="E188" s="13" t="inlineStr"/>
      <c r="F188" s="13" t="inlineStr"/>
      <c r="G188" s="13" t="inlineStr"/>
    </row>
    <row r="189" ht="22" customHeight="1">
      <c r="A189" s="30" t="inlineStr">
        <is>
          <t>Sprint 5</t>
        </is>
      </c>
      <c r="B189" s="5" t="inlineStr">
        <is>
          <t>W11</t>
        </is>
      </c>
      <c r="C189" s="6" t="inlineStr">
        <is>
          <t>A·需求(50%)</t>
        </is>
      </c>
      <c r="D189" s="7" t="inlineStr">
        <is>
          <t>• 上线后用户反馈收集与分诊</t>
        </is>
      </c>
      <c r="E189" s="8" t="inlineStr">
        <is>
          <t>反馈清单；培训内容确认</t>
        </is>
      </c>
      <c r="F189" s="9" t="n"/>
      <c r="G189" s="10" t="inlineStr">
        <is>
          <t>Go-Live</t>
        </is>
      </c>
    </row>
    <row r="190" ht="22" customHeight="1">
      <c r="A190" s="31" t="inlineStr"/>
      <c r="B190" s="5" t="inlineStr"/>
      <c r="C190" s="12" t="inlineStr"/>
      <c r="D190" s="7" t="inlineStr">
        <is>
          <t>• 培训内容审阅（业务视角）</t>
        </is>
      </c>
      <c r="E190" s="13" t="inlineStr"/>
      <c r="F190" s="13" t="inlineStr"/>
      <c r="G190" s="13" t="inlineStr"/>
    </row>
    <row r="191" ht="22" customHeight="1">
      <c r="A191" s="74" t="inlineStr">
        <is>
          <t>Sprint 5</t>
        </is>
      </c>
      <c r="B191" s="62" t="inlineStr">
        <is>
          <t>W11</t>
        </is>
      </c>
      <c r="C191" s="63" t="inlineStr">
        <is>
          <t>B·架构+开发</t>
        </is>
      </c>
      <c r="D191" s="64" t="inlineStr">
        <is>
          <t>• Go/No-Go 技术评估（权限/存储/性能三维度）</t>
        </is>
      </c>
      <c r="E191" s="65" t="inlineStr">
        <is>
          <t>上线成功；运维培训完成</t>
        </is>
      </c>
      <c r="F191" s="66" t="inlineStr"/>
      <c r="G191" s="67" t="inlineStr">
        <is>
          <t>Go-Live 决策会</t>
        </is>
      </c>
    </row>
    <row r="192" ht="22" customHeight="1">
      <c r="A192" s="68" t="n"/>
      <c r="B192" s="68" t="n"/>
      <c r="C192" s="69" t="n"/>
      <c r="D192" s="64" t="inlineStr">
        <is>
          <t>• 上线指挥：部署顺序编排 + 验证点清单 + 回退预案就绪</t>
        </is>
      </c>
      <c r="E192" s="68" t="n"/>
      <c r="F192" s="68" t="n"/>
      <c r="G192" s="68" t="n"/>
    </row>
    <row r="193" ht="22" customHeight="1">
      <c r="A193" s="68" t="n"/>
      <c r="B193" s="68" t="n"/>
      <c r="C193" s="69" t="n"/>
      <c r="D193" s="64" t="inlineStr">
        <is>
          <t>• 运维培训：UC 权限日常管理 + 存储分层监控 + 生命周期规则调整</t>
        </is>
      </c>
      <c r="E193" s="68" t="n"/>
      <c r="F193" s="68" t="n"/>
      <c r="G193" s="68" t="n"/>
    </row>
    <row r="194" ht="22" customHeight="1">
      <c r="A194" s="68" t="n"/>
      <c r="B194" s="68" t="n"/>
      <c r="C194" s="69" t="n"/>
      <c r="D194" s="64" t="inlineStr">
        <is>
          <t>• 上线 48h 值守（权限异常/存储倾斜重点盯）</t>
        </is>
      </c>
      <c r="E194" s="68" t="n"/>
      <c r="F194" s="68" t="n"/>
      <c r="G194" s="68" t="n"/>
    </row>
    <row r="195" ht="22" customHeight="1">
      <c r="A195" s="30" t="inlineStr">
        <is>
          <t>Sprint 5</t>
        </is>
      </c>
      <c r="B195" s="5" t="inlineStr">
        <is>
          <t>W11</t>
        </is>
      </c>
      <c r="C195" s="16" t="inlineStr">
        <is>
          <t>C·数据工程</t>
        </is>
      </c>
      <c r="D195" s="7" t="inlineStr">
        <is>
          <t>• 生产运行监控（ETL/Compaction/销毁）</t>
        </is>
      </c>
      <c r="E195" s="8" t="inlineStr">
        <is>
          <t>生产 Jobs 正常；第二系统入湖</t>
        </is>
      </c>
      <c r="F195" s="9" t="n"/>
      <c r="G195" s="10" t="inlineStr">
        <is>
          <t>Go-Live</t>
        </is>
      </c>
    </row>
    <row r="196" ht="22" customHeight="1">
      <c r="A196" s="31" t="inlineStr"/>
      <c r="B196" s="5" t="inlineStr"/>
      <c r="C196" s="17" t="inlineStr"/>
      <c r="D196" s="7" t="inlineStr">
        <is>
          <t>• 异常处理</t>
        </is>
      </c>
      <c r="E196" s="13" t="inlineStr"/>
      <c r="F196" s="13" t="inlineStr"/>
      <c r="G196" s="13" t="inlineStr"/>
    </row>
    <row r="197" ht="22" customHeight="1">
      <c r="A197" s="31" t="inlineStr"/>
      <c r="B197" s="5" t="inlineStr"/>
      <c r="C197" s="17" t="inlineStr"/>
      <c r="D197" s="7" t="inlineStr">
        <is>
          <t>• 第二系统全量迁移</t>
        </is>
      </c>
      <c r="E197" s="13" t="inlineStr"/>
      <c r="F197" s="13" t="inlineStr"/>
      <c r="G197" s="13" t="inlineStr"/>
    </row>
    <row r="198" ht="22" customHeight="1">
      <c r="A198" s="31" t="inlineStr"/>
      <c r="B198" s="5" t="inlineStr"/>
      <c r="C198" s="17" t="inlineStr"/>
      <c r="D198" s="7" t="inlineStr">
        <is>
          <t>• 接入 SOP 初稿</t>
        </is>
      </c>
      <c r="E198" s="13" t="inlineStr"/>
      <c r="F198" s="13" t="inlineStr"/>
      <c r="G198" s="13" t="inlineStr"/>
    </row>
    <row r="199" ht="22" customHeight="1">
      <c r="A199" s="30" t="inlineStr">
        <is>
          <t>Sprint 5</t>
        </is>
      </c>
      <c r="B199" s="5" t="inlineStr">
        <is>
          <t>W11</t>
        </is>
      </c>
      <c r="C199" s="18" t="inlineStr">
        <is>
          <t>D·全栈+DevOps</t>
        </is>
      </c>
      <c r="D199" s="7" t="inlineStr">
        <is>
          <t>• 生产运行监控（查询/前端/SSO）</t>
        </is>
      </c>
      <c r="E199" s="8" t="inlineStr">
        <is>
          <t>生产查询正常</t>
        </is>
      </c>
      <c r="F199" s="9" t="n"/>
      <c r="G199" s="10" t="inlineStr">
        <is>
          <t>Go-Live</t>
        </is>
      </c>
    </row>
    <row r="200" ht="22" customHeight="1">
      <c r="A200" s="31" t="inlineStr"/>
      <c r="B200" s="5" t="inlineStr"/>
      <c r="C200" s="19" t="inlineStr"/>
      <c r="D200" s="7" t="inlineStr">
        <is>
          <t>• 用户反馈响应</t>
        </is>
      </c>
      <c r="E200" s="13" t="inlineStr"/>
      <c r="F200" s="13" t="inlineStr"/>
      <c r="G200" s="13" t="inlineStr"/>
    </row>
    <row r="201" ht="22" customHeight="1">
      <c r="A201" s="31" t="inlineStr"/>
      <c r="B201" s="5" t="inlineStr"/>
      <c r="C201" s="19" t="inlineStr"/>
      <c r="D201" s="7" t="inlineStr">
        <is>
          <t>• 配置调优</t>
        </is>
      </c>
      <c r="E201" s="13" t="inlineStr"/>
      <c r="F201" s="13" t="inlineStr"/>
      <c r="G201" s="13" t="inlineStr"/>
    </row>
    <row r="202" ht="22" customHeight="1">
      <c r="A202" s="30" t="inlineStr">
        <is>
          <t>Sprint 5</t>
        </is>
      </c>
      <c r="B202" s="5" t="inlineStr">
        <is>
          <t>W11</t>
        </is>
      </c>
      <c r="C202" s="20" t="inlineStr">
        <is>
          <t>E·QA+SLC文档</t>
        </is>
      </c>
      <c r="D202" s="7" t="inlineStr">
        <is>
          <t>• 上线执行（部署顺序/验证/回退点）</t>
        </is>
      </c>
      <c r="E202" s="8" t="inlineStr">
        <is>
          <t>上线 Checklist 全勾；培训完成；告警可达</t>
        </is>
      </c>
      <c r="F202" s="9" t="n"/>
      <c r="G202" s="10" t="inlineStr">
        <is>
          <t>Go-Live；培训</t>
        </is>
      </c>
    </row>
    <row r="203" ht="22" customHeight="1">
      <c r="A203" s="31" t="inlineStr"/>
      <c r="B203" s="5" t="inlineStr"/>
      <c r="C203" s="21" t="inlineStr"/>
      <c r="D203" s="7" t="inlineStr">
        <is>
          <t>• 48h 值守</t>
        </is>
      </c>
      <c r="E203" s="13" t="inlineStr"/>
      <c r="F203" s="13" t="inlineStr"/>
      <c r="G203" s="13" t="inlineStr"/>
    </row>
    <row r="204" ht="22" customHeight="1">
      <c r="A204" s="31" t="inlineStr"/>
      <c r="B204" s="5" t="inlineStr"/>
      <c r="C204" s="21" t="inlineStr"/>
      <c r="D204" s="7" t="inlineStr">
        <is>
          <t>• 告警验证</t>
        </is>
      </c>
      <c r="E204" s="13" t="inlineStr"/>
      <c r="F204" s="13" t="inlineStr"/>
      <c r="G204" s="13" t="inlineStr"/>
    </row>
    <row r="205" ht="22" customHeight="1">
      <c r="A205" s="31" t="inlineStr"/>
      <c r="B205" s="5" t="inlineStr"/>
      <c r="C205" s="21" t="inlineStr"/>
      <c r="D205" s="7" t="inlineStr">
        <is>
          <t>• 培训交付：业务用户培训（查询/导出/附件）+ 运维培训辅助</t>
        </is>
      </c>
      <c r="E205" s="13" t="inlineStr"/>
      <c r="F205" s="13" t="inlineStr"/>
      <c r="G205" s="13" t="inlineStr"/>
    </row>
    <row r="206" ht="22" customHeight="1">
      <c r="A206" s="30" t="inlineStr">
        <is>
          <t>Sprint 5</t>
        </is>
      </c>
      <c r="B206" s="5" t="inlineStr">
        <is>
          <t>W12</t>
        </is>
      </c>
      <c r="C206" s="6" t="inlineStr">
        <is>
          <t>A·需求(50%)</t>
        </is>
      </c>
      <c r="D206" s="7" t="inlineStr">
        <is>
          <t>• 项目复盘（需求满足度回顾）</t>
        </is>
      </c>
      <c r="E206" s="8" t="inlineStr">
        <is>
          <t>需求满足度报告；后续排期</t>
        </is>
      </c>
      <c r="F206" s="9" t="n"/>
      <c r="G206" s="10" t="inlineStr">
        <is>
          <t>Retro；关闭会</t>
        </is>
      </c>
    </row>
    <row r="207" ht="22" customHeight="1">
      <c r="A207" s="31" t="inlineStr"/>
      <c r="B207" s="5" t="inlineStr"/>
      <c r="C207" s="12" t="inlineStr"/>
      <c r="D207" s="7" t="inlineStr">
        <is>
          <t>• 后续系统需求排期</t>
        </is>
      </c>
      <c r="E207" s="13" t="inlineStr"/>
      <c r="F207" s="13" t="inlineStr"/>
      <c r="G207" s="13" t="inlineStr"/>
    </row>
    <row r="208" ht="22" customHeight="1">
      <c r="A208" s="74" t="inlineStr">
        <is>
          <t>Sprint 5</t>
        </is>
      </c>
      <c r="B208" s="62" t="inlineStr">
        <is>
          <t>W12</t>
        </is>
      </c>
      <c r="C208" s="63" t="inlineStr">
        <is>
          <t>B·架构+开发</t>
        </is>
      </c>
      <c r="D208" s="64" t="inlineStr">
        <is>
          <t>• 运维独立操作验证（权限变更/存储策略调整由运维独立完成）</t>
        </is>
      </c>
      <c r="E208" s="65" t="inlineStr">
        <is>
          <t>运维可独立日常操作；关闭报告技术篇</t>
        </is>
      </c>
      <c r="F208" s="66" t="inlineStr">
        <is>
          <t>运维意愿</t>
        </is>
      </c>
      <c r="G208" s="67" t="inlineStr">
        <is>
          <t>Retro；项目关闭会</t>
        </is>
      </c>
    </row>
    <row r="209" ht="22" customHeight="1">
      <c r="A209" s="68" t="n"/>
      <c r="B209" s="68" t="n"/>
      <c r="C209" s="69" t="n"/>
      <c r="D209" s="64" t="inlineStr">
        <is>
          <t>• 技术债清单与后续优化建议（权限自动化/存储成本优化）</t>
        </is>
      </c>
      <c r="E209" s="68" t="n"/>
      <c r="F209" s="68" t="n"/>
      <c r="G209" s="68" t="n"/>
    </row>
    <row r="210">
      <c r="A210" s="68" t="n"/>
      <c r="B210" s="68" t="n"/>
      <c r="C210" s="69" t="n"/>
      <c r="D210" s="64" t="inlineStr">
        <is>
          <t>• 项目关闭报告技术部分 + 后续接入技术排期</t>
        </is>
      </c>
      <c r="E210" s="68" t="n"/>
      <c r="F210" s="68" t="n"/>
      <c r="G210" s="68" t="n"/>
    </row>
    <row r="211">
      <c r="A211" s="68" t="n"/>
      <c r="B211" s="68" t="n"/>
      <c r="C211" s="69" t="n"/>
      <c r="D211" s="64" t="inlineStr">
        <is>
          <t>• Retro 复盘</t>
        </is>
      </c>
      <c r="E211" s="68" t="n"/>
      <c r="F211" s="68" t="n"/>
      <c r="G211" s="68" t="n"/>
    </row>
    <row r="212">
      <c r="A212" s="30" t="inlineStr">
        <is>
          <t>Sprint 5</t>
        </is>
      </c>
      <c r="B212" s="5" t="inlineStr">
        <is>
          <t>W12</t>
        </is>
      </c>
      <c r="C212" s="16" t="inlineStr">
        <is>
          <t>C·数据工程</t>
        </is>
      </c>
      <c r="D212" s="7" t="inlineStr">
        <is>
          <t>• 运维知识转移（ETL/销毁）</t>
        </is>
      </c>
      <c r="E212" s="8" t="inlineStr">
        <is>
          <t>运维可独立跑 ETL+销毁</t>
        </is>
      </c>
      <c r="F212" s="9" t="n"/>
      <c r="G212" s="10" t="inlineStr">
        <is>
          <t>Retro</t>
        </is>
      </c>
    </row>
    <row r="213">
      <c r="A213" s="31" t="inlineStr"/>
      <c r="B213" s="5" t="inlineStr"/>
      <c r="C213" s="17" t="inlineStr"/>
      <c r="D213" s="7" t="inlineStr">
        <is>
          <t>• 第三系统 PoC</t>
        </is>
      </c>
      <c r="E213" s="13" t="inlineStr"/>
      <c r="F213" s="13" t="inlineStr"/>
      <c r="G213" s="13" t="inlineStr"/>
    </row>
    <row r="214">
      <c r="A214" s="31" t="inlineStr"/>
      <c r="B214" s="5" t="inlineStr"/>
      <c r="C214" s="17" t="inlineStr"/>
      <c r="D214" s="7" t="inlineStr">
        <is>
          <t>• 技术债清单</t>
        </is>
      </c>
      <c r="E214" s="13" t="inlineStr"/>
      <c r="F214" s="13" t="inlineStr"/>
      <c r="G214" s="13" t="inlineStr"/>
    </row>
    <row r="215">
      <c r="A215" s="30" t="inlineStr">
        <is>
          <t>Sprint 5</t>
        </is>
      </c>
      <c r="B215" s="5" t="inlineStr">
        <is>
          <t>W12</t>
        </is>
      </c>
      <c r="C215" s="18" t="inlineStr">
        <is>
          <t>D·全栈+DevOps</t>
        </is>
      </c>
      <c r="D215" s="7" t="inlineStr">
        <is>
          <t>• 运维知识转移（部署/前端）</t>
        </is>
      </c>
      <c r="E215" s="8" t="inlineStr">
        <is>
          <t>运维可改前端配置；代码整洁</t>
        </is>
      </c>
      <c r="F215" s="9" t="n"/>
      <c r="G215" s="10" t="inlineStr">
        <is>
          <t>Retro</t>
        </is>
      </c>
    </row>
    <row r="216">
      <c r="A216" s="31" t="inlineStr"/>
      <c r="B216" s="5" t="inlineStr"/>
      <c r="C216" s="19" t="inlineStr"/>
      <c r="D216" s="7" t="inlineStr">
        <is>
          <t>• 第三系统配置</t>
        </is>
      </c>
      <c r="E216" s="13" t="inlineStr"/>
      <c r="F216" s="13" t="inlineStr"/>
      <c r="G216" s="13" t="inlineStr"/>
    </row>
    <row r="217">
      <c r="A217" s="31" t="inlineStr"/>
      <c r="B217" s="5" t="inlineStr"/>
      <c r="C217" s="19" t="inlineStr"/>
      <c r="D217" s="7" t="inlineStr">
        <is>
          <t>• 代码整理</t>
        </is>
      </c>
      <c r="E217" s="13" t="inlineStr"/>
      <c r="F217" s="13" t="inlineStr"/>
      <c r="G217" s="13" t="inlineStr"/>
    </row>
    <row r="218">
      <c r="A218" s="30" t="inlineStr">
        <is>
          <t>Sprint 5</t>
        </is>
      </c>
      <c r="B218" s="5" t="inlineStr">
        <is>
          <t>W12</t>
        </is>
      </c>
      <c r="C218" s="20" t="inlineStr">
        <is>
          <t>E·QA+SLC文档</t>
        </is>
      </c>
      <c r="D218" s="7" t="inlineStr">
        <is>
          <t>• 文档包归档（7 套 + 培训视频 + 接入手册）</t>
        </is>
      </c>
      <c r="E218" s="8" t="inlineStr">
        <is>
          <t>全部文档归档；培训视频上传</t>
        </is>
      </c>
      <c r="F218" s="9" t="n"/>
      <c r="G218" s="10" t="inlineStr">
        <is>
          <t>Retro；关闭会</t>
        </is>
      </c>
    </row>
    <row r="219">
      <c r="A219" s="31" t="inlineStr"/>
      <c r="B219" s="5" t="inlineStr"/>
      <c r="C219" s="21" t="inlineStr"/>
      <c r="D219" s="7" t="inlineStr">
        <is>
          <t>• 培训视频录制</t>
        </is>
      </c>
      <c r="E219" s="13" t="inlineStr"/>
      <c r="F219" s="13" t="inlineStr"/>
      <c r="G219" s="13" t="inlineStr"/>
    </row>
    <row r="220">
      <c r="A220" s="31" t="inlineStr"/>
      <c r="B220" s="5" t="inlineStr"/>
      <c r="C220" s="21" t="inlineStr"/>
      <c r="D220" s="7" t="inlineStr">
        <is>
          <t>• 后续接入手册终版</t>
        </is>
      </c>
      <c r="E220" s="13" t="inlineStr"/>
      <c r="F220" s="13" t="inlineStr"/>
      <c r="G220" s="13" t="inlineStr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2026-08-27T23:44:00Z</dcterms:created>
  <dcterms:modified xsi:type="dcterms:W3CDTF">2026-08-27T11:30:01Z</dcterms:modified>
  <cp:lastModifiedBy>chen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8B74D09245A83CA9B30F906A52BF7531_42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