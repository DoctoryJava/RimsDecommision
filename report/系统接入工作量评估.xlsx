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40" activeTab="2"/>
  </bookViews>
  <sheets>
    <sheet name="分系统评估明细" sheetId="1" r:id="rId1"/>
    <sheet name="工作量构成模型" sheetId="2" r:id="rId2"/>
    <sheet name="云资源成本估算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<sst xmlns="http://schemas.openxmlformats.org/spreadsheetml/2006/main" count="345" uniqueCount="259">
  <si>
    <t>退役系统接入工作量评估 · 分系统明细（B2 湖仓平台 · 假设对每个系统均不熟悉）</t>
  </si>
  <si>
    <t>口径：平台底座已建成 · 人天含设计/配置/验证/整改 · 调研熟悉 = 业务理解+表结构确认+查询需求收集（每系统必计） · 日历时间另计等待（账号开通、业务勾表决策）</t>
  </si>
  <si>
    <t>序号</t>
  </si>
  <si>
    <t>系统</t>
  </si>
  <si>
    <t>业务域</t>
  </si>
  <si>
    <t>源库</t>
  </si>
  <si>
    <t>表数</t>
  </si>
  <si>
    <t>字段数</t>
  </si>
  <si>
    <t>数据结构（非结构化附件）</t>
  </si>
  <si>
    <t>定级</t>
  </si>
  <si>
    <t>复杂点 / 主要工作项</t>
  </si>
  <si>
    <t>前置调研（人天）</t>
  </si>
  <si>
    <t>接入实施（人天）</t>
  </si>
  <si>
    <t>合计低（人天）</t>
  </si>
  <si>
    <t>合计高（人天）</t>
  </si>
  <si>
    <t>特殊合规要求</t>
  </si>
  <si>
    <t>备注</t>
  </si>
  <si>
    <t>关键评估假设（人天口径）</t>
  </si>
  <si>
    <t>Caring Center（CC）</t>
  </si>
  <si>
    <t>客户信息、工单、外呼、微信聊天、短信、问卷</t>
  </si>
  <si>
    <t>SQL Server</t>
  </si>
  <si>
    <t>结构化 + 客服录音 / 微信记录 / 工单附件</t>
  </si>
  <si>
    <t>最复杂</t>
  </si>
  <si>
    <t>审表 4~6 天（1,253 张筛业务表）；abt_ 前缀海量表；bak/temp/_Old 垃圾表规则；附件 3 类；PII 密度最高（客户联系方式）</t>
  </si>
  <si>
    <t>3~5</t>
  </si>
  <si>
    <t>14~20</t>
  </si>
  <si>
    <t>个人信息脱敏标记最多；录音属敏感对话记录</t>
  </si>
  <si>
    <t>字段量全量最大</t>
  </si>
  <si>
    <t>实测 1,253 表/24,620 字段；假设垃圾表（bak/temp/_Old）约 40%，审表按 ~600 张有效表估；热表 15~30 张配查询；附件 3 类；勾表评审 2 轮</t>
  </si>
  <si>
    <t>NGCRM</t>
  </si>
  <si>
    <t>客户 / 事件 / 积分 / 订单 / 标签 / 会员管理</t>
  </si>
  <si>
    <t>待确认</t>
  </si>
  <si>
    <t>—</t>
  </si>
  <si>
    <t>待调研</t>
  </si>
  <si>
    <t>表结构.xlsx 无同名工作表：需先做结构发现（DDL 导出/扫描）与业务分类确认，再按实际规模定档（先按中等预估）</t>
  </si>
  <si>
    <t>3~6</t>
  </si>
  <si>
    <t>8~13</t>
  </si>
  <si>
    <t>CRM 含客户个人信息，脱敏要求预计与 MA 同级</t>
  </si>
  <si>
    <t>结构未知，拿到 DDL 后修正</t>
  </si>
  <si>
    <t>结构未知：按中等（200~450 表）假设，先 DDL 导出定档后修正；热表 10~20 张；附件 1 类待确认</t>
  </si>
  <si>
    <t>ADC MA</t>
  </si>
  <si>
    <t>营销活动：campaign / 会员 / 积分 / 优惠券 / 公众号</t>
  </si>
  <si>
    <t>MySQL</t>
  </si>
  <si>
    <t>结构化 + 活动图片 / 公众号素材 / 优惠券模板</t>
  </si>
  <si>
    <t>复杂</t>
  </si>
  <si>
    <t>381 个 longtext/JSON 逐表决策（检索 or 仅归档）；字段量大（查询配置面广）；素材附件 2~3 类</t>
  </si>
  <si>
    <t>3~4</t>
  </si>
  <si>
    <t>12~17</t>
  </si>
  <si>
    <t>会员手机号 / openid 脱敏</t>
  </si>
  <si>
    <t>varchar 6,046 / longtext 381</t>
  </si>
  <si>
    <t>实测 852 表/14,208 字段；假设 381 个 longtext/JSON 逐表决策"可查 vs 仅归档"；热表 15~25 张；素材附件 2~3 类；勾表 2 轮</t>
  </si>
  <si>
    <t>Eflow</t>
  </si>
  <si>
    <t>交易、FOC、审批流、系统日志</t>
  </si>
  <si>
    <t>结构化 + 审批附件 / FOC 凭证</t>
  </si>
  <si>
    <t>简单+</t>
  </si>
  <si>
    <t>审批链表关联（AR_WFI_*）需保住；money 字段对账精度；附件 2 类</t>
  </si>
  <si>
    <t>2~3</t>
  </si>
  <si>
    <t>6~8</t>
  </si>
  <si>
    <t>交易/凭证数据保留期确认</t>
  </si>
  <si>
    <t>最小系统之一</t>
  </si>
  <si>
    <t>实测 227 表/2,231 字段；假设审批链关联表（AR_WFI_*）完整可读；热表 8~15 张；附件 2 类（审批附件+FOC 凭证）</t>
  </si>
  <si>
    <t>DHT</t>
  </si>
  <si>
    <t>会员、健康、交易、活动</t>
  </si>
  <si>
    <t>结构化 + 健康报告 / 活动文档</t>
  </si>
  <si>
    <t>中等+</t>
  </si>
  <si>
    <t>Abp* 框架表与业务表区分；uniqueidentifier/datetime2 映射；健康数据 PII 密度高</t>
  </si>
  <si>
    <t>9~13</t>
  </si>
  <si>
    <t>健康数据属敏感个人信息，脱敏最高优先级</t>
  </si>
  <si>
    <t>ABP 框架系统</t>
  </si>
  <si>
    <t>实测 557 表（含 Abp* 框架表约 1/3，需排除）；热表 10~20 张；健康报告附件 1~2 类；脱敏字段按 PII 正则扫描结果定</t>
  </si>
  <si>
    <t>AMD SFE</t>
  </si>
  <si>
    <t>销售 / 排期 / 拜访 / 经销商 / 漏斗 / 报表</t>
  </si>
  <si>
    <t>无同名工作表：先结构发现；SFE 类通常带拜访/费用合规数据（参考 BPM 敏感度）</t>
  </si>
  <si>
    <t>可能涉拜访记录与费用合规</t>
  </si>
  <si>
    <t>结构未知，先按中等预估</t>
  </si>
  <si>
    <t>结构未知：按中等假设；SFE 数据敏感度参考 BPM；先结构发现后修正</t>
  </si>
  <si>
    <t>HF</t>
  </si>
  <si>
    <t>公众号推文、内容、课程、考试、活动、Banner</t>
  </si>
  <si>
    <t>无同名工作表：内容型系统，结构预计较简单；推文/课程素材附件量可能大</t>
  </si>
  <si>
    <t>7~12</t>
  </si>
  <si>
    <t>公开内容为主，合规压力低</t>
  </si>
  <si>
    <t>结构未知，偏简单~中等预估</t>
  </si>
  <si>
    <t>结构未知：内容型系统按简单~中等假设；推文/课程素材附件量待确认</t>
  </si>
  <si>
    <t>VAS SFE</t>
  </si>
  <si>
    <t>活动报告、活动管理、跟台数据</t>
  </si>
  <si>
    <t>无同名工作表：先结构发现；跟台/活动数据量与附件待确认</t>
  </si>
  <si>
    <t>活动合规留痕</t>
  </si>
  <si>
    <t>结构未知：按简单~中等假设；跟台数据量与附件待确认</t>
  </si>
  <si>
    <t>BPM</t>
  </si>
  <si>
    <t>费用 / 预算 / HCP / 供应商 / 采购 / 审批流</t>
  </si>
  <si>
    <t>结构化 + 资质证书 / 发票影像 / 合同 / 审批附件</t>
  </si>
  <si>
    <t>ABP 表区分；发票/合同/资质 3+ 类附件；审批链（Workflow*）与审计追踪必须完整保留；Veeva 关联数据</t>
  </si>
  <si>
    <t>合规敏感度最高：HCP / 费用 / 采购审计，可能触发法定保留（legal hold）</t>
  </si>
  <si>
    <t>审批链完整性是验收红线</t>
  </si>
  <si>
    <t>实测 374 表（含 Abp* 框架表）；假设审批链/审计表全量保留；发票+合同+资质附件 3 类；可能触发法定保留</t>
  </si>
  <si>
    <t>Dspot</t>
  </si>
  <si>
    <t>电子签到、合规检查、抽样、用餐记录</t>
  </si>
  <si>
    <t>结构化 + 电子签名图片 / 图片视频元数据</t>
  </si>
  <si>
    <t>简单</t>
  </si>
  <si>
    <t>photo_info / video_info 元数据与对象对应关系；附件 1~2 类</t>
  </si>
  <si>
    <t>5~7</t>
  </si>
  <si>
    <t>电子签名与两步认证日志属合规证据</t>
  </si>
  <si>
    <t>最小系统</t>
  </si>
  <si>
    <t>实测 123 表；photo/video 元数据表可直接映射（取低值）；附件 1~2 类</t>
  </si>
  <si>
    <t>银河 an + pnd</t>
  </si>
  <si>
    <t>产品追溯 / 条码 / 经销商 / 物流 / 批次</t>
  </si>
  <si>
    <t>结构化 + 条码图片 / 仓储单据 / 批次记录 / 经销商资质</t>
  </si>
  <si>
    <t>中等</t>
  </si>
  <si>
    <t>编码体系关联（条码-箱码-批次-经销商 join）必须保住；两库（an/pnd）跨库关联确认；条码图片量大</t>
  </si>
  <si>
    <t>8~12</t>
  </si>
  <si>
    <t>产品追溯记录保留期通常有法规要求</t>
  </si>
  <si>
    <t>关联完整性是验收红线</t>
  </si>
  <si>
    <t>实测 424 表（an+pnd 两库）；假设编码关联 join（条码-箱码-批次）逐一验证；条码图片附件 1~2 类</t>
  </si>
  <si>
    <t>合计（12 项）</t>
  </si>
  <si>
    <t/>
  </si>
  <si>
    <t>首个接入系统建议再 +30~50%（模板打磨）</t>
  </si>
  <si>
    <t>共同假设：源库只读账号与 NAT 白名单已办妥；业务接口人可配合 1~2 轮勾表评审；B2 平台底座已建成</t>
  </si>
  <si>
    <t>单系统接入工作量构成</t>
  </si>
  <si>
    <t>三大估算风险</t>
  </si>
  <si>
    <t>环节</t>
  </si>
  <si>
    <t>内容</t>
  </si>
  <si>
    <t>人天（低~高）</t>
  </si>
  <si>
    <t>说明</t>
  </si>
  <si>
    <t>风险</t>
  </si>
  <si>
    <t>影响</t>
  </si>
  <si>
    <t>对策</t>
  </si>
  <si>
    <t>前置调研（不熟悉假设）</t>
  </si>
  <si>
    <t>业务理解、表结构/字段含义确认、查询需求与保留期收集、附件位置摸底</t>
  </si>
  <si>
    <t>2~6</t>
  </si>
  <si>
    <t>每个系统必计；结构未知系统（无表结构清单）取高值并先做 DDL 导出/扫描</t>
  </si>
  <si>
    <t>业务方不确定哪些表要留</t>
  </si>
  <si>
    <t>审表决策等 1~2 周，日历翻倍（人天不变）</t>
  </si>
  <si>
    <t>接入前发"表清单导出+勾选"模板让业务先自标，评审只过争议表</t>
  </si>
  <si>
    <t>固定底座</t>
  </si>
  <si>
    <t>系统建档 + Catalog/服务主体/GRANT 脚本 + 源库连接测试 + 存储与保留策略</t>
  </si>
  <si>
    <t>平台已脚本化，边际最低</t>
  </si>
  <si>
    <t>源库只读账号 / NAT 白名单开通</t>
  </si>
  <si>
    <t>流程性等待 1~2 周/系统</t>
  </si>
  <si>
    <t>第一个系统时固化申请模板与审批链，批量预办</t>
  </si>
  <si>
    <t>审表勾选</t>
  </si>
  <si>
    <t>表清单评审、入湖勾选、垃圾表排除规则（bak/temp/_Old/Abp*）</t>
  </si>
  <si>
    <t>0.5~6</t>
  </si>
  <si>
    <t>&lt;150 表 0.5~1｜150~450 表 1~2｜450~900 表 2~4｜&gt;900 表 4~6</t>
  </si>
  <si>
    <t>字段级脱敏讨论失控</t>
  </si>
  <si>
    <t>CC/MA 两万+字段逐个谈会拖垮进度</t>
  </si>
  <si>
    <t>表级打标先行；身份证/手机号正则扫描辅助；只对进 SERVE 查询层的字段做列级确认</t>
  </si>
  <si>
    <t>查询配置</t>
  </si>
  <si>
    <t>只对勾选的 10~30 张热表配字段/筛选/JOIN/脱敏</t>
  </si>
  <si>
    <t>0.5~5</t>
  </si>
  <si>
    <t>全量表 1:1 入 RAW 不花配置人天；查询配置面取决于热表数与字段量</t>
  </si>
  <si>
    <t>附件接入</t>
  </si>
  <si>
    <t>源端摸底（位置/总量/命名规则）+ 业务键映射（文件 ↔ 业务表主键，登记 attachment_index）+ SHA-256 台账对账 + SAS 预览/下载链路验证</t>
  </si>
  <si>
    <t>0.5~3</t>
  </si>
  <si>
    <t>文件搬运本身由 Storage Mover 自动完成、不计人天；成本在"搬完之后按业务记录找到附件"——每类源的映射规则不同（录音↔call_id、附件↔fileupload 表），故按类型计。有元数据表的（如 Dspot photo_info）取低值，映射需挖掘的（CC 录音/微信）取高值</t>
  </si>
  <si>
    <t>特殊处理</t>
  </si>
  <si>
    <t>框架表区分、JSON/longtext 决策、编码体系关联、法定保留配置</t>
  </si>
  <si>
    <t>0~2.5</t>
  </si>
  <si>
    <t>CC/MA/DHT/BPM/银河各有 0.5~1 项</t>
  </si>
  <si>
    <t>验证对账</t>
  </si>
  <si>
    <t>全量入湖行数/校验和比对、偏差整改</t>
  </si>
  <si>
    <t>1~2</t>
  </si>
  <si>
    <t>数据量影响日历时长，不影响人天</t>
  </si>
  <si>
    <t>两个关键设计</t>
  </si>
  <si>
    <t>① 全量表 1:1 进 RAW 保真：SeaTunnel 任务按勾选自动生成，几乎不花配置人天——复杂度只体现在"审表勾选"，不在"入湖"。</t>
  </si>
  <si>
    <t>② 查询配置只做热表：CC 的 24,620 个字段不逐个配置；先正则排掉 *_bak/_temp/_Old/abt 备份类，业务确认真正要查的 10~30 张表即可。</t>
  </si>
  <si>
    <t>分系统云资源成本估算 · 单价基准与假设场景（B2 湖仓 · Azure 列表价 $1=¥7.1）</t>
  </si>
  <si>
    <t>数据量为按系统类型推估（待 sp_spaceused 实测校准）· 附件存储只按 TB 计、与附件类型无关（类型只影响人工映射工作量，见明细表假设列）</t>
  </si>
  <si>
    <t>一、单价基准（官方列表价 → 折算）</t>
  </si>
  <si>
    <t>计费项</t>
  </si>
  <si>
    <t>官方单价</t>
  </si>
  <si>
    <t>折算 / 场景</t>
  </si>
  <si>
    <t>查询 · SQL Serverless</t>
  </si>
  <si>
    <t>$0.70 / DBU（Premium）</t>
  </si>
  <si>
    <t>X-Small = 6 DBU/h ≈ ¥30/小时</t>
  </si>
  <si>
    <t>DBU 单价已含底层 VM，无第二笔基础设施账单；按仓库在线小时计费、按秒累计，空闲 ~10 分钟自动暂停归零</t>
  </si>
  <si>
    <t>查询 · 单次查询成本</t>
  </si>
  <si>
    <t>同上</t>
  </si>
  <si>
    <t>扫 2GB ≈ 20~40 秒 ≈ ¥0.2~0.5/次；扫 5GB ≈ 1 分钟 ≈ ¥0.5~1/次</t>
  </si>
  <si>
    <t>仓库热着时按扫描量线性；冷启动首查多几秒（不另收费）</t>
  </si>
  <si>
    <t>ETL 写侧 · Databricks Jobs</t>
  </si>
  <si>
    <t>$0.30 / DBU + 底层 VM（按量）</t>
  </si>
  <si>
    <t>全包折算 ¥1,500~3,000 / TB</t>
  </si>
  <si>
    <t>含四层转换（RAW→SERVE 约 5~6TB 有效读写）+ Z-Order + 首次 Compaction；附件 URL/台账重写也在此列</t>
  </si>
  <si>
    <t>存储 · 湖存（结构化）</t>
  </si>
  <si>
    <t>Hot ¥131 / Cool ¥73 / Cold ¥33 每 TB·月</t>
  </si>
  <si>
    <t>Hot/Cool 混合 ≈ ¥90~150 / TB·月</t>
  </si>
  <si>
    <t>在线可查需 Hot/Cool；分层后单价随生命周期下降</t>
  </si>
  <si>
    <t>存储 · 附件 Blob（非结构化）</t>
  </si>
  <si>
    <t>同上单价表</t>
  </si>
  <si>
    <t>Cool→Cold 混合 ≈ ¥40~90 / TB·月</t>
  </si>
  <si>
    <t>比湖存便宜（不需在线扫描）；与湖分账户、生命周期自动降档</t>
  </si>
  <si>
    <t>二、分系统估算（查询列为分摊口径，非叠加计费）</t>
  </si>
  <si>
    <t>假设数据量（TB）</t>
  </si>
  <si>
    <t>查询假设（小时/天）</t>
  </si>
  <si>
    <t>存储（元/月）</t>
  </si>
  <si>
    <t>查询分摊（元/月·非叠加）</t>
  </si>
  <si>
    <t>首次入湖 ETL（一次性·元）</t>
  </si>
  <si>
    <t>月度合计（存储+查询分摊）</t>
  </si>
  <si>
    <t>2.5 ~ 4</t>
  </si>
  <si>
    <t>2 ~ 3</t>
  </si>
  <si>
    <t>225 ~ 600</t>
  </si>
  <si>
    <t>1,320 ~ 1,980</t>
  </si>
  <si>
    <t>3,750 ~ 12,000</t>
  </si>
  <si>
    <t>1,545 ~ 2,580</t>
  </si>
  <si>
    <t>录音+微信+工单附件占比高，数据量最大</t>
  </si>
  <si>
    <t>0.5 ~ 1</t>
  </si>
  <si>
    <t>45 ~ 150</t>
  </si>
  <si>
    <t>330.0 ~ 660</t>
  </si>
  <si>
    <t>750 ~ 3,000</t>
  </si>
  <si>
    <t>375.0 ~ 810</t>
  </si>
  <si>
    <t>结构未知，按 0.5~1 TB 推估</t>
  </si>
  <si>
    <t>1.5 ~ 3</t>
  </si>
  <si>
    <t>1.5 ~ 2</t>
  </si>
  <si>
    <t>135 ~ 450</t>
  </si>
  <si>
    <t>990.0 ~ 1,320</t>
  </si>
  <si>
    <t>2,250 ~ 9,000</t>
  </si>
  <si>
    <t>1,125.0 ~ 1,770</t>
  </si>
  <si>
    <t>活动图片/素材附件多</t>
  </si>
  <si>
    <t>交易+审批流，附件中等</t>
  </si>
  <si>
    <t>1 ~ 2</t>
  </si>
  <si>
    <t>0.5 ~ 1.5</t>
  </si>
  <si>
    <t>90 ~ 300</t>
  </si>
  <si>
    <t>330.0 ~ 990.0</t>
  </si>
  <si>
    <t>1,500 ~ 6,000</t>
  </si>
  <si>
    <t>420.0 ~ 1,290.0</t>
  </si>
  <si>
    <t>健康报告附件</t>
  </si>
  <si>
    <t>结构未知，按中等推估</t>
  </si>
  <si>
    <t>45 ~ 225</t>
  </si>
  <si>
    <t>750 ~ 4,500</t>
  </si>
  <si>
    <t>375.0 ~ 885</t>
  </si>
  <si>
    <t>推文/课程素材，附件量大</t>
  </si>
  <si>
    <t>0.3 ~ 0.8</t>
  </si>
  <si>
    <t>0.3 ~ 0.5</t>
  </si>
  <si>
    <t>27 ~ 120</t>
  </si>
  <si>
    <t>198.0 ~ 330.0</t>
  </si>
  <si>
    <t>450 ~ 2,400</t>
  </si>
  <si>
    <t>225.0 ~ 450.0</t>
  </si>
  <si>
    <t>活动/跟台数据，量小</t>
  </si>
  <si>
    <t>1 ~ 1.5</t>
  </si>
  <si>
    <t>660 ~ 990.0</t>
  </si>
  <si>
    <t>750 ~ 1,290.0</t>
  </si>
  <si>
    <t>发票影像/合同/资质附件多</t>
  </si>
  <si>
    <t>0.5 ~ 1.2</t>
  </si>
  <si>
    <t>45 ~ 180</t>
  </si>
  <si>
    <t>750 ~ 3,600</t>
  </si>
  <si>
    <t>375.0 ~ 840</t>
  </si>
  <si>
    <t>签到图片/视频</t>
  </si>
  <si>
    <t>2 ~ 3.5</t>
  </si>
  <si>
    <t>180 ~ 525</t>
  </si>
  <si>
    <t>3,000 ~ 10,500</t>
  </si>
  <si>
    <t>840 ~ 1,515.0</t>
  </si>
  <si>
    <t>条码记录行数大，序列化数据</t>
  </si>
  <si>
    <t>合计（11 项）</t>
  </si>
  <si>
    <t>10.8 ~ 21</t>
  </si>
  <si>
    <t>972 ~ 3,150</t>
  </si>
  <si>
    <t>≈5,900（共享封顶）</t>
  </si>
  <si>
    <t>16,200 ~ 63,000</t>
  </si>
  <si>
    <t>6,872 ~ 9,050</t>
  </si>
  <si>
    <t>查询列逐系统直加会重复计——12 系统共用仓库，按在线 176~198h × 1 实例封顶 ≈ ¥5,280~5,900/月；仅并发打满时段翻倍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</si>
</sst>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3"/>
      <color rgb="FF0F172A"/>
      <name val="Microsoft YaHei"/>
      <charset val="134"/>
    </font>
    <font>
      <sz val="9"/>
      <color rgb="FF64748B"/>
      <name val="Microsoft YaHei"/>
      <charset val="134"/>
    </font>
    <font>
      <b/>
      <sz val="11"/>
      <name val="Microsoft YaHei"/>
      <charset val="134"/>
    </font>
    <font>
      <sz val="11"/>
      <name val="宋体"/>
      <charset val="134"/>
      <scheme val="minor"/>
    </font>
    <font>
      <b/>
      <sz val="10"/>
      <color rgb="FFFFFFFF"/>
      <name val="Microsoft YaHei"/>
      <charset val="134"/>
    </font>
    <font>
      <b/>
      <sz val="9.5"/>
      <color rgb="FF0F172A"/>
      <name val="Microsoft YaHei"/>
      <charset val="134"/>
    </font>
    <font>
      <sz val="9.5"/>
      <color rgb="FF0F172A"/>
      <name val="Microsoft YaHei"/>
      <charset val="134"/>
    </font>
    <font>
      <sz val="9.5"/>
      <color rgb="FF475569"/>
      <name val="Microsoft YaHei"/>
      <charset val="134"/>
    </font>
    <font>
      <b/>
      <sz val="9.5"/>
      <color rgb="FF1E3A8A"/>
      <name val="Microsoft YaHei"/>
      <charset val="134"/>
    </font>
    <font>
      <b/>
      <sz val="13"/>
      <name val="Microsoft YaHei"/>
      <charset val="134"/>
    </font>
    <font>
      <b/>
      <sz val="11"/>
      <color rgb="FFB91C1C"/>
      <name val="Microsoft YaHei"/>
      <charset val="134"/>
    </font>
    <font>
      <b/>
      <sz val="14"/>
      <color rgb="FF0F172A"/>
      <name val="Microsoft YaHei"/>
      <charset val="134"/>
    </font>
    <font>
      <b/>
      <sz val="9.5"/>
      <color rgb="FF475569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5" borderId="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7" applyNumberFormat="0" applyAlignment="0" applyProtection="0">
      <alignment vertical="center"/>
    </xf>
    <xf numFmtId="0" fontId="24" fillId="7" borderId="8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6" fillId="8" borderId="9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0" fillId="0" borderId="0" xfId="0" applyFont="1"/>
    <xf numFmtId="0" fontId="11" fillId="0" borderId="0" xfId="0" applyFont="1"/>
    <xf numFmtId="0" fontId="8" fillId="0" borderId="0" xfId="0" applyFont="1"/>
    <xf numFmtId="0" fontId="0" fillId="4" borderId="0" xfId="0" applyFill="1"/>
    <xf numFmtId="0" fontId="12" fillId="0" borderId="0" xfId="0" applyFont="1"/>
    <xf numFmtId="3" fontId="8" fillId="0" borderId="1" xfId="0" applyNumberFormat="1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各系统接入工作量（人天 · 含前置调研）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分系统评估明细!$L$4</c:f>
              <c:strCache>
                <c:ptCount val="1"/>
                <c:pt idx="0">
                  <c:v>合计低（人天）</c:v>
                </c:pt>
              </c:strCache>
            </c:strRef>
          </c:tx>
          <c:spPr>
            <a:solidFill>
              <a:srgbClr val="93C5FD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分系统评估明细!$B$5:$B$15</c:f>
              <c:strCache>
                <c:ptCount val="11"/>
                <c:pt idx="0">
                  <c:v>Caring Center（CC）</c:v>
                </c:pt>
                <c:pt idx="1">
                  <c:v>NGCRM</c:v>
                </c:pt>
                <c:pt idx="2">
                  <c:v>ADC MA</c:v>
                </c:pt>
                <c:pt idx="3">
                  <c:v>Eflow</c:v>
                </c:pt>
                <c:pt idx="4">
                  <c:v>DHT</c:v>
                </c:pt>
                <c:pt idx="5">
                  <c:v>AMD SFE</c:v>
                </c:pt>
                <c:pt idx="6">
                  <c:v>HF</c:v>
                </c:pt>
                <c:pt idx="7">
                  <c:v>VAS SFE</c:v>
                </c:pt>
                <c:pt idx="8">
                  <c:v>BPM</c:v>
                </c:pt>
                <c:pt idx="9">
                  <c:v>Dspot</c:v>
                </c:pt>
                <c:pt idx="10">
                  <c:v>银河 an + pnd</c:v>
                </c:pt>
              </c:strCache>
            </c:strRef>
          </c:cat>
          <c:val>
            <c:numRef>
              <c:f>分系统评估明细!$L$5:$L$15</c:f>
              <c:numCache>
                <c:formatCode>General</c:formatCode>
                <c:ptCount val="11"/>
                <c:pt idx="0">
                  <c:v>17</c:v>
                </c:pt>
                <c:pt idx="1">
                  <c:v>11</c:v>
                </c:pt>
                <c:pt idx="2">
                  <c:v>15</c:v>
                </c:pt>
                <c:pt idx="3">
                  <c:v>8</c:v>
                </c:pt>
                <c:pt idx="4">
                  <c:v>12</c:v>
                </c:pt>
                <c:pt idx="5">
                  <c:v>11</c:v>
                </c:pt>
                <c:pt idx="6">
                  <c:v>10</c:v>
                </c:pt>
                <c:pt idx="7">
                  <c:v>10</c:v>
                </c:pt>
                <c:pt idx="8">
                  <c:v>12</c:v>
                </c:pt>
                <c:pt idx="9">
                  <c:v>7</c:v>
                </c:pt>
                <c:pt idx="10">
                  <c:v>11</c:v>
                </c:pt>
              </c:numCache>
            </c:numRef>
          </c:val>
        </c:ser>
        <c:ser>
          <c:idx val="1"/>
          <c:order val="1"/>
          <c:tx>
            <c:strRef>
              <c:f>分系统评估明细!$M$4</c:f>
              <c:strCache>
                <c:ptCount val="1"/>
                <c:pt idx="0">
                  <c:v>合计高（人天）</c:v>
                </c:pt>
              </c:strCache>
            </c:strRef>
          </c:tx>
          <c:spPr>
            <a:solidFill>
              <a:srgbClr val="1E3A8A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分系统评估明细!$B$5:$B$15</c:f>
              <c:strCache>
                <c:ptCount val="11"/>
                <c:pt idx="0">
                  <c:v>Caring Center（CC）</c:v>
                </c:pt>
                <c:pt idx="1">
                  <c:v>NGCRM</c:v>
                </c:pt>
                <c:pt idx="2">
                  <c:v>ADC MA</c:v>
                </c:pt>
                <c:pt idx="3">
                  <c:v>Eflow</c:v>
                </c:pt>
                <c:pt idx="4">
                  <c:v>DHT</c:v>
                </c:pt>
                <c:pt idx="5">
                  <c:v>AMD SFE</c:v>
                </c:pt>
                <c:pt idx="6">
                  <c:v>HF</c:v>
                </c:pt>
                <c:pt idx="7">
                  <c:v>VAS SFE</c:v>
                </c:pt>
                <c:pt idx="8">
                  <c:v>BPM</c:v>
                </c:pt>
                <c:pt idx="9">
                  <c:v>Dspot</c:v>
                </c:pt>
                <c:pt idx="10">
                  <c:v>银河 an + pnd</c:v>
                </c:pt>
              </c:strCache>
            </c:strRef>
          </c:cat>
          <c:val>
            <c:numRef>
              <c:f>分系统评估明细!$M$5:$M$15</c:f>
              <c:numCache>
                <c:formatCode>General</c:formatCode>
                <c:ptCount val="11"/>
                <c:pt idx="0">
                  <c:v>25</c:v>
                </c:pt>
                <c:pt idx="1">
                  <c:v>19</c:v>
                </c:pt>
                <c:pt idx="2">
                  <c:v>21</c:v>
                </c:pt>
                <c:pt idx="3">
                  <c:v>11</c:v>
                </c:pt>
                <c:pt idx="4">
                  <c:v>17</c:v>
                </c:pt>
                <c:pt idx="5">
                  <c:v>19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10</c:v>
                </c:pt>
                <c:pt idx="10">
                  <c:v>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人天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81b765c-c004-4188-a017-9a691c804fd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18</xdr:row>
      <xdr:rowOff>0</xdr:rowOff>
    </xdr:from>
    <xdr:ext cx="10800000" cy="3425760"/>
    <xdr:graphicFrame>
      <xdr:nvGraphicFramePr>
        <xdr:cNvPr id="2" name="Chart 1"/>
        <xdr:cNvGraphicFramePr/>
      </xdr:nvGraphicFramePr>
      <xdr:xfrm>
        <a:off x="0" y="8234680"/>
        <a:ext cx="10799445" cy="34251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M12" sqref="M12"/>
    </sheetView>
  </sheetViews>
  <sheetFormatPr defaultColWidth="9" defaultRowHeight="16.8"/>
  <cols>
    <col min="1" max="1" width="5" customWidth="1"/>
    <col min="2" max="2" width="16" customWidth="1"/>
    <col min="3" max="3" width="26" customWidth="1"/>
    <col min="4" max="4" width="11" customWidth="1"/>
    <col min="5" max="5" width="8" customWidth="1"/>
    <col min="6" max="6" width="9" customWidth="1"/>
    <col min="7" max="7" width="24" customWidth="1"/>
    <col min="8" max="8" width="8" customWidth="1"/>
    <col min="9" max="9" width="44" customWidth="1"/>
    <col min="10" max="11" width="11" customWidth="1"/>
    <col min="12" max="13" width="10" customWidth="1"/>
    <col min="14" max="14" width="26" customWidth="1"/>
    <col min="15" max="15" width="20" customWidth="1"/>
    <col min="16" max="16" width="46" customWidth="1"/>
  </cols>
  <sheetData>
    <row r="1" ht="19.2" spans="1:16">
      <c r="A1" s="20" t="s">
        <v>0</v>
      </c>
    </row>
    <row r="2" spans="1:16">
      <c r="A2" s="2" t="s">
        <v>1</v>
      </c>
    </row>
    <row r="4" s="19" customFormat="1" ht="30" customHeight="1" spans="1:16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</row>
    <row r="5" ht="46" customHeight="1" spans="1:16">
      <c r="A5" s="11">
        <v>1</v>
      </c>
      <c r="B5" s="6" t="s">
        <v>18</v>
      </c>
      <c r="C5" s="13" t="s">
        <v>19</v>
      </c>
      <c r="D5" s="11" t="s">
        <v>20</v>
      </c>
      <c r="E5" s="21">
        <v>1253</v>
      </c>
      <c r="F5" s="21">
        <v>24620</v>
      </c>
      <c r="G5" s="13" t="s">
        <v>21</v>
      </c>
      <c r="H5" s="6" t="s">
        <v>22</v>
      </c>
      <c r="I5" s="13" t="s">
        <v>23</v>
      </c>
      <c r="J5" s="11" t="s">
        <v>24</v>
      </c>
      <c r="K5" s="11" t="s">
        <v>25</v>
      </c>
      <c r="L5" s="11">
        <v>17</v>
      </c>
      <c r="M5" s="11">
        <v>25</v>
      </c>
      <c r="N5" s="13" t="s">
        <v>26</v>
      </c>
      <c r="O5" s="13" t="s">
        <v>27</v>
      </c>
      <c r="P5" s="13" t="s">
        <v>28</v>
      </c>
    </row>
    <row r="6" ht="46" customHeight="1" spans="1:16">
      <c r="A6" s="11">
        <v>2</v>
      </c>
      <c r="B6" s="6" t="s">
        <v>29</v>
      </c>
      <c r="C6" s="13" t="s">
        <v>30</v>
      </c>
      <c r="D6" s="11" t="s">
        <v>31</v>
      </c>
      <c r="E6" s="21" t="s">
        <v>32</v>
      </c>
      <c r="F6" s="21" t="s">
        <v>32</v>
      </c>
      <c r="G6" s="13" t="s">
        <v>31</v>
      </c>
      <c r="H6" s="6" t="s">
        <v>33</v>
      </c>
      <c r="I6" s="13" t="s">
        <v>34</v>
      </c>
      <c r="J6" s="11" t="s">
        <v>35</v>
      </c>
      <c r="K6" s="11" t="s">
        <v>36</v>
      </c>
      <c r="L6" s="11">
        <v>11</v>
      </c>
      <c r="M6" s="11">
        <v>19</v>
      </c>
      <c r="N6" s="13" t="s">
        <v>37</v>
      </c>
      <c r="O6" s="13" t="s">
        <v>38</v>
      </c>
      <c r="P6" s="13" t="s">
        <v>39</v>
      </c>
    </row>
    <row r="7" ht="46" customHeight="1" spans="1:16">
      <c r="A7" s="11">
        <v>3</v>
      </c>
      <c r="B7" s="6" t="s">
        <v>40</v>
      </c>
      <c r="C7" s="13" t="s">
        <v>41</v>
      </c>
      <c r="D7" s="11" t="s">
        <v>42</v>
      </c>
      <c r="E7" s="21">
        <v>852</v>
      </c>
      <c r="F7" s="21">
        <v>14208</v>
      </c>
      <c r="G7" s="13" t="s">
        <v>43</v>
      </c>
      <c r="H7" s="6" t="s">
        <v>44</v>
      </c>
      <c r="I7" s="13" t="s">
        <v>45</v>
      </c>
      <c r="J7" s="11" t="s">
        <v>46</v>
      </c>
      <c r="K7" s="11" t="s">
        <v>47</v>
      </c>
      <c r="L7" s="11">
        <v>15</v>
      </c>
      <c r="M7" s="11">
        <v>21</v>
      </c>
      <c r="N7" s="13" t="s">
        <v>48</v>
      </c>
      <c r="O7" s="13" t="s">
        <v>49</v>
      </c>
      <c r="P7" s="13" t="s">
        <v>50</v>
      </c>
    </row>
    <row r="8" ht="46" customHeight="1" spans="1:16">
      <c r="A8" s="11">
        <v>4</v>
      </c>
      <c r="B8" s="6" t="s">
        <v>51</v>
      </c>
      <c r="C8" s="13" t="s">
        <v>52</v>
      </c>
      <c r="D8" s="11" t="s">
        <v>20</v>
      </c>
      <c r="E8" s="21">
        <v>227</v>
      </c>
      <c r="F8" s="21">
        <v>2231</v>
      </c>
      <c r="G8" s="13" t="s">
        <v>53</v>
      </c>
      <c r="H8" s="6" t="s">
        <v>54</v>
      </c>
      <c r="I8" s="13" t="s">
        <v>55</v>
      </c>
      <c r="J8" s="11" t="s">
        <v>56</v>
      </c>
      <c r="K8" s="11" t="s">
        <v>57</v>
      </c>
      <c r="L8" s="11">
        <v>8</v>
      </c>
      <c r="M8" s="11">
        <v>11</v>
      </c>
      <c r="N8" s="13" t="s">
        <v>58</v>
      </c>
      <c r="O8" s="13" t="s">
        <v>59</v>
      </c>
      <c r="P8" s="13" t="s">
        <v>60</v>
      </c>
    </row>
    <row r="9" ht="46" customHeight="1" spans="1:16">
      <c r="A9" s="11">
        <v>5</v>
      </c>
      <c r="B9" s="6" t="s">
        <v>61</v>
      </c>
      <c r="C9" s="13" t="s">
        <v>62</v>
      </c>
      <c r="D9" s="11" t="s">
        <v>20</v>
      </c>
      <c r="E9" s="21">
        <v>557</v>
      </c>
      <c r="F9" s="21">
        <v>9422</v>
      </c>
      <c r="G9" s="13" t="s">
        <v>63</v>
      </c>
      <c r="H9" s="6" t="s">
        <v>64</v>
      </c>
      <c r="I9" s="13" t="s">
        <v>65</v>
      </c>
      <c r="J9" s="11" t="s">
        <v>46</v>
      </c>
      <c r="K9" s="11" t="s">
        <v>66</v>
      </c>
      <c r="L9" s="11">
        <v>12</v>
      </c>
      <c r="M9" s="11">
        <v>17</v>
      </c>
      <c r="N9" s="13" t="s">
        <v>67</v>
      </c>
      <c r="O9" s="13" t="s">
        <v>68</v>
      </c>
      <c r="P9" s="13" t="s">
        <v>69</v>
      </c>
    </row>
    <row r="10" ht="46" customHeight="1" spans="1:16">
      <c r="A10" s="11">
        <v>6</v>
      </c>
      <c r="B10" s="6" t="s">
        <v>70</v>
      </c>
      <c r="C10" s="13" t="s">
        <v>71</v>
      </c>
      <c r="D10" s="11" t="s">
        <v>31</v>
      </c>
      <c r="E10" s="21" t="s">
        <v>32</v>
      </c>
      <c r="F10" s="21" t="s">
        <v>32</v>
      </c>
      <c r="G10" s="13" t="s">
        <v>31</v>
      </c>
      <c r="H10" s="6" t="s">
        <v>33</v>
      </c>
      <c r="I10" s="13" t="s">
        <v>72</v>
      </c>
      <c r="J10" s="11" t="s">
        <v>35</v>
      </c>
      <c r="K10" s="11" t="s">
        <v>36</v>
      </c>
      <c r="L10" s="11">
        <v>11</v>
      </c>
      <c r="M10" s="11">
        <v>19</v>
      </c>
      <c r="N10" s="13" t="s">
        <v>73</v>
      </c>
      <c r="O10" s="13" t="s">
        <v>74</v>
      </c>
      <c r="P10" s="13" t="s">
        <v>75</v>
      </c>
    </row>
    <row r="11" ht="46" customHeight="1" spans="1:16">
      <c r="A11" s="11">
        <v>7</v>
      </c>
      <c r="B11" s="6" t="s">
        <v>76</v>
      </c>
      <c r="C11" s="13" t="s">
        <v>77</v>
      </c>
      <c r="D11" s="11" t="s">
        <v>31</v>
      </c>
      <c r="E11" s="21" t="s">
        <v>32</v>
      </c>
      <c r="F11" s="21" t="s">
        <v>32</v>
      </c>
      <c r="G11" s="13" t="s">
        <v>31</v>
      </c>
      <c r="H11" s="6" t="s">
        <v>33</v>
      </c>
      <c r="I11" s="13" t="s">
        <v>78</v>
      </c>
      <c r="J11" s="11" t="s">
        <v>35</v>
      </c>
      <c r="K11" s="11" t="s">
        <v>79</v>
      </c>
      <c r="L11" s="11">
        <v>10</v>
      </c>
      <c r="M11" s="11">
        <v>18</v>
      </c>
      <c r="N11" s="13" t="s">
        <v>80</v>
      </c>
      <c r="O11" s="13" t="s">
        <v>81</v>
      </c>
      <c r="P11" s="13" t="s">
        <v>82</v>
      </c>
    </row>
    <row r="12" ht="46" customHeight="1" spans="1:16">
      <c r="A12" s="11">
        <v>8</v>
      </c>
      <c r="B12" s="6" t="s">
        <v>83</v>
      </c>
      <c r="C12" s="13" t="s">
        <v>84</v>
      </c>
      <c r="D12" s="11" t="s">
        <v>31</v>
      </c>
      <c r="E12" s="21" t="s">
        <v>32</v>
      </c>
      <c r="F12" s="21" t="s">
        <v>32</v>
      </c>
      <c r="G12" s="13" t="s">
        <v>31</v>
      </c>
      <c r="H12" s="6" t="s">
        <v>33</v>
      </c>
      <c r="I12" s="13" t="s">
        <v>85</v>
      </c>
      <c r="J12" s="11" t="s">
        <v>35</v>
      </c>
      <c r="K12" s="11" t="s">
        <v>79</v>
      </c>
      <c r="L12" s="11">
        <v>10</v>
      </c>
      <c r="M12" s="11">
        <v>18</v>
      </c>
      <c r="N12" s="13" t="s">
        <v>86</v>
      </c>
      <c r="O12" s="13" t="s">
        <v>81</v>
      </c>
      <c r="P12" s="13" t="s">
        <v>87</v>
      </c>
    </row>
    <row r="13" ht="46" customHeight="1" spans="1:16">
      <c r="A13" s="11">
        <v>9</v>
      </c>
      <c r="B13" s="6" t="s">
        <v>88</v>
      </c>
      <c r="C13" s="13" t="s">
        <v>89</v>
      </c>
      <c r="D13" s="11" t="s">
        <v>20</v>
      </c>
      <c r="E13" s="21">
        <v>374</v>
      </c>
      <c r="F13" s="21">
        <v>7116</v>
      </c>
      <c r="G13" s="13" t="s">
        <v>90</v>
      </c>
      <c r="H13" s="6" t="s">
        <v>64</v>
      </c>
      <c r="I13" s="13" t="s">
        <v>91</v>
      </c>
      <c r="J13" s="11" t="s">
        <v>46</v>
      </c>
      <c r="K13" s="11" t="s">
        <v>66</v>
      </c>
      <c r="L13" s="11">
        <v>12</v>
      </c>
      <c r="M13" s="11">
        <v>17</v>
      </c>
      <c r="N13" s="13" t="s">
        <v>92</v>
      </c>
      <c r="O13" s="13" t="s">
        <v>93</v>
      </c>
      <c r="P13" s="13" t="s">
        <v>94</v>
      </c>
    </row>
    <row r="14" ht="46" customHeight="1" spans="1:16">
      <c r="A14" s="11">
        <v>10</v>
      </c>
      <c r="B14" s="6" t="s">
        <v>95</v>
      </c>
      <c r="C14" s="13" t="s">
        <v>96</v>
      </c>
      <c r="D14" s="11" t="s">
        <v>42</v>
      </c>
      <c r="E14" s="21">
        <v>123</v>
      </c>
      <c r="F14" s="21">
        <v>2483</v>
      </c>
      <c r="G14" s="13" t="s">
        <v>97</v>
      </c>
      <c r="H14" s="6" t="s">
        <v>98</v>
      </c>
      <c r="I14" s="13" t="s">
        <v>99</v>
      </c>
      <c r="J14" s="11" t="s">
        <v>56</v>
      </c>
      <c r="K14" s="11" t="s">
        <v>100</v>
      </c>
      <c r="L14" s="11">
        <v>7</v>
      </c>
      <c r="M14" s="11">
        <v>10</v>
      </c>
      <c r="N14" s="13" t="s">
        <v>101</v>
      </c>
      <c r="O14" s="13" t="s">
        <v>102</v>
      </c>
      <c r="P14" s="13" t="s">
        <v>103</v>
      </c>
    </row>
    <row r="15" ht="46" customHeight="1" spans="1:16">
      <c r="A15" s="11">
        <v>11</v>
      </c>
      <c r="B15" s="6" t="s">
        <v>104</v>
      </c>
      <c r="C15" s="13" t="s">
        <v>105</v>
      </c>
      <c r="D15" s="11" t="s">
        <v>42</v>
      </c>
      <c r="E15" s="21">
        <v>424</v>
      </c>
      <c r="F15" s="21">
        <v>7204</v>
      </c>
      <c r="G15" s="13" t="s">
        <v>106</v>
      </c>
      <c r="H15" s="6" t="s">
        <v>107</v>
      </c>
      <c r="I15" s="13" t="s">
        <v>108</v>
      </c>
      <c r="J15" s="11" t="s">
        <v>46</v>
      </c>
      <c r="K15" s="11" t="s">
        <v>109</v>
      </c>
      <c r="L15" s="11">
        <v>11</v>
      </c>
      <c r="M15" s="11">
        <v>16</v>
      </c>
      <c r="N15" s="13" t="s">
        <v>110</v>
      </c>
      <c r="O15" s="13" t="s">
        <v>111</v>
      </c>
      <c r="P15" s="13" t="s">
        <v>112</v>
      </c>
    </row>
    <row r="16" ht="26" customHeight="1" spans="1:16">
      <c r="A16" s="22">
        <v>12</v>
      </c>
      <c r="B16" s="15" t="s">
        <v>113</v>
      </c>
      <c r="C16" s="23" t="s">
        <v>114</v>
      </c>
      <c r="D16" s="22" t="s">
        <v>114</v>
      </c>
      <c r="E16" s="22">
        <v>3810</v>
      </c>
      <c r="F16" s="22">
        <v>67064</v>
      </c>
      <c r="G16" s="23" t="s">
        <v>114</v>
      </c>
      <c r="H16" s="22" t="s">
        <v>114</v>
      </c>
      <c r="I16" s="23" t="s">
        <v>115</v>
      </c>
      <c r="J16" s="22" t="s">
        <v>32</v>
      </c>
      <c r="K16" s="22" t="s">
        <v>32</v>
      </c>
      <c r="L16" s="14">
        <v>124</v>
      </c>
      <c r="M16" s="14">
        <v>191</v>
      </c>
      <c r="N16" s="23" t="s">
        <v>114</v>
      </c>
      <c r="O16" s="23"/>
      <c r="P16" s="15" t="s">
        <v>116</v>
      </c>
    </row>
  </sheetData>
  <mergeCells count="2">
    <mergeCell ref="A1:O1"/>
    <mergeCell ref="A2:O2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showGridLines="0" workbookViewId="0">
      <selection activeCell="C20" sqref="C20"/>
    </sheetView>
  </sheetViews>
  <sheetFormatPr defaultColWidth="9" defaultRowHeight="16.8"/>
  <cols>
    <col min="1" max="1" width="22" customWidth="1"/>
    <col min="2" max="2" width="56" customWidth="1"/>
    <col min="3" max="3" width="12" customWidth="1"/>
    <col min="4" max="4" width="46" customWidth="1"/>
    <col min="8" max="8" width="42" customWidth="1"/>
    <col min="9" max="9" width="20.1923076923077" customWidth="1"/>
    <col min="10" max="10" width="40.7019230769231" customWidth="1"/>
  </cols>
  <sheetData>
    <row r="1" ht="18.4" spans="1:10">
      <c r="A1" s="16" t="s">
        <v>117</v>
      </c>
      <c r="H1" s="16" t="s">
        <v>118</v>
      </c>
    </row>
    <row r="3" ht="30" customHeight="1" spans="1:10">
      <c r="A3" s="5" t="s">
        <v>119</v>
      </c>
      <c r="B3" s="5" t="s">
        <v>120</v>
      </c>
      <c r="C3" s="5" t="s">
        <v>121</v>
      </c>
      <c r="D3" s="5" t="s">
        <v>122</v>
      </c>
      <c r="H3" s="5" t="s">
        <v>123</v>
      </c>
      <c r="I3" s="5" t="s">
        <v>124</v>
      </c>
      <c r="J3" s="5" t="s">
        <v>125</v>
      </c>
    </row>
    <row r="4" ht="34" customHeight="1" spans="1:10">
      <c r="A4" s="6" t="s">
        <v>126</v>
      </c>
      <c r="B4" s="8" t="s">
        <v>127</v>
      </c>
      <c r="C4" s="7" t="s">
        <v>128</v>
      </c>
      <c r="D4" s="8" t="s">
        <v>129</v>
      </c>
      <c r="H4" s="6" t="s">
        <v>130</v>
      </c>
      <c r="I4" s="8" t="s">
        <v>131</v>
      </c>
      <c r="J4" s="8" t="s">
        <v>132</v>
      </c>
    </row>
    <row r="5" ht="34" customHeight="1" spans="1:10">
      <c r="A5" s="6" t="s">
        <v>133</v>
      </c>
      <c r="B5" s="8" t="s">
        <v>134</v>
      </c>
      <c r="C5" s="7" t="s">
        <v>46</v>
      </c>
      <c r="D5" s="8" t="s">
        <v>135</v>
      </c>
      <c r="H5" s="6" t="s">
        <v>136</v>
      </c>
      <c r="I5" s="8" t="s">
        <v>137</v>
      </c>
      <c r="J5" s="8" t="s">
        <v>138</v>
      </c>
    </row>
    <row r="6" ht="34" customHeight="1" spans="1:10">
      <c r="A6" s="6" t="s">
        <v>139</v>
      </c>
      <c r="B6" s="8" t="s">
        <v>140</v>
      </c>
      <c r="C6" s="7" t="s">
        <v>141</v>
      </c>
      <c r="D6" s="8" t="s">
        <v>142</v>
      </c>
      <c r="H6" s="6" t="s">
        <v>143</v>
      </c>
      <c r="I6" s="8" t="s">
        <v>144</v>
      </c>
      <c r="J6" s="8" t="s">
        <v>145</v>
      </c>
    </row>
    <row r="7" ht="34" customHeight="1" spans="1:10">
      <c r="A7" s="6" t="s">
        <v>146</v>
      </c>
      <c r="B7" s="8" t="s">
        <v>147</v>
      </c>
      <c r="C7" s="7" t="s">
        <v>148</v>
      </c>
      <c r="D7" s="8" t="s">
        <v>149</v>
      </c>
    </row>
    <row r="8" ht="44" customHeight="1" spans="1:10">
      <c r="A8" s="6" t="s">
        <v>150</v>
      </c>
      <c r="B8" s="8" t="s">
        <v>151</v>
      </c>
      <c r="C8" s="7" t="s">
        <v>152</v>
      </c>
      <c r="D8" s="8" t="s">
        <v>153</v>
      </c>
    </row>
    <row r="9" ht="34" customHeight="1" spans="1:10">
      <c r="A9" s="6" t="s">
        <v>154</v>
      </c>
      <c r="B9" s="8" t="s">
        <v>155</v>
      </c>
      <c r="C9" s="7" t="s">
        <v>156</v>
      </c>
      <c r="D9" s="8" t="s">
        <v>157</v>
      </c>
    </row>
    <row r="10" ht="34" customHeight="1" spans="1:10">
      <c r="A10" s="6" t="s">
        <v>158</v>
      </c>
      <c r="B10" s="8" t="s">
        <v>159</v>
      </c>
      <c r="C10" s="7" t="s">
        <v>160</v>
      </c>
      <c r="D10" s="8" t="s">
        <v>161</v>
      </c>
    </row>
    <row r="12" spans="1:10">
      <c r="A12" s="17" t="s">
        <v>162</v>
      </c>
    </row>
    <row r="13" spans="1:10">
      <c r="A13" s="18" t="s">
        <v>163</v>
      </c>
    </row>
    <row r="14" spans="1:10">
      <c r="A14" s="18" t="s">
        <v>164</v>
      </c>
    </row>
  </sheetData>
  <mergeCells count="2">
    <mergeCell ref="A13:D13"/>
    <mergeCell ref="A14:D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showGridLines="0" tabSelected="1" workbookViewId="0">
      <selection activeCell="D5" sqref="D5"/>
    </sheetView>
  </sheetViews>
  <sheetFormatPr defaultColWidth="9" defaultRowHeight="16.8"/>
  <cols>
    <col min="1" max="1" width="24" customWidth="1"/>
    <col min="2" max="2" width="20" customWidth="1"/>
    <col min="3" max="3" width="33.8461538461538" customWidth="1"/>
    <col min="4" max="4" width="14" customWidth="1"/>
    <col min="5" max="5" width="16" customWidth="1"/>
    <col min="6" max="7" width="19" customWidth="1"/>
    <col min="8" max="8" width="21" customWidth="1"/>
    <col min="9" max="9" width="40" customWidth="1"/>
  </cols>
  <sheetData>
    <row r="1" ht="18.4" spans="1:9">
      <c r="A1" s="1" t="s">
        <v>165</v>
      </c>
    </row>
    <row r="2" spans="1:9">
      <c r="A2" s="2" t="s">
        <v>166</v>
      </c>
    </row>
    <row r="4" ht="20" customHeight="1" spans="1:9">
      <c r="A4" s="3" t="s">
        <v>167</v>
      </c>
      <c r="B4" s="4"/>
      <c r="C4" s="4"/>
      <c r="D4" s="4"/>
      <c r="E4" s="4"/>
      <c r="F4" s="4"/>
      <c r="G4" s="4"/>
      <c r="H4" s="4"/>
      <c r="I4" s="4"/>
    </row>
    <row r="5" ht="28" customHeight="1" spans="1:9">
      <c r="A5" s="5" t="s">
        <v>168</v>
      </c>
      <c r="B5" s="5" t="s">
        <v>169</v>
      </c>
      <c r="C5" s="5" t="s">
        <v>170</v>
      </c>
      <c r="D5" s="5" t="s">
        <v>122</v>
      </c>
      <c r="E5" s="5" t="s">
        <v>114</v>
      </c>
      <c r="F5" s="5" t="s">
        <v>114</v>
      </c>
      <c r="G5" s="5" t="s">
        <v>114</v>
      </c>
      <c r="H5" s="5" t="s">
        <v>114</v>
      </c>
      <c r="I5" s="5" t="s">
        <v>114</v>
      </c>
    </row>
    <row r="6" ht="30" customHeight="1" spans="1:9">
      <c r="A6" s="6" t="s">
        <v>171</v>
      </c>
      <c r="B6" s="7" t="s">
        <v>172</v>
      </c>
      <c r="C6" s="7" t="s">
        <v>173</v>
      </c>
      <c r="D6" s="8" t="s">
        <v>174</v>
      </c>
      <c r="E6" s="9"/>
      <c r="F6" s="9"/>
      <c r="G6" s="9"/>
      <c r="H6" s="9"/>
      <c r="I6" s="10"/>
    </row>
    <row r="7" ht="30" customHeight="1" spans="1:9">
      <c r="A7" s="6" t="s">
        <v>175</v>
      </c>
      <c r="B7" s="7" t="s">
        <v>176</v>
      </c>
      <c r="C7" s="7" t="s">
        <v>177</v>
      </c>
      <c r="D7" s="8" t="s">
        <v>178</v>
      </c>
      <c r="E7" s="9"/>
      <c r="F7" s="9"/>
      <c r="G7" s="9"/>
      <c r="H7" s="9"/>
      <c r="I7" s="10"/>
    </row>
    <row r="8" ht="30" customHeight="1" spans="1:9">
      <c r="A8" s="6" t="s">
        <v>179</v>
      </c>
      <c r="B8" s="7" t="s">
        <v>180</v>
      </c>
      <c r="C8" s="7" t="s">
        <v>181</v>
      </c>
      <c r="D8" s="8" t="s">
        <v>182</v>
      </c>
      <c r="E8" s="9"/>
      <c r="F8" s="9"/>
      <c r="G8" s="9"/>
      <c r="H8" s="9"/>
      <c r="I8" s="10"/>
    </row>
    <row r="9" ht="30" customHeight="1" spans="1:9">
      <c r="A9" s="6" t="s">
        <v>183</v>
      </c>
      <c r="B9" s="7" t="s">
        <v>184</v>
      </c>
      <c r="C9" s="7" t="s">
        <v>185</v>
      </c>
      <c r="D9" s="8" t="s">
        <v>186</v>
      </c>
      <c r="E9" s="9"/>
      <c r="F9" s="9"/>
      <c r="G9" s="9"/>
      <c r="H9" s="9"/>
      <c r="I9" s="10"/>
    </row>
    <row r="10" ht="30" customHeight="1" spans="1:9">
      <c r="A10" s="6" t="s">
        <v>187</v>
      </c>
      <c r="B10" s="7" t="s">
        <v>188</v>
      </c>
      <c r="C10" s="7" t="s">
        <v>189</v>
      </c>
      <c r="D10" s="8" t="s">
        <v>190</v>
      </c>
      <c r="E10" s="9"/>
      <c r="F10" s="9"/>
      <c r="G10" s="9"/>
      <c r="H10" s="9"/>
      <c r="I10" s="10"/>
    </row>
    <row r="13" ht="20" customHeight="1" spans="1:9">
      <c r="A13" s="3" t="s">
        <v>191</v>
      </c>
      <c r="B13" s="4"/>
      <c r="C13" s="4"/>
      <c r="D13" s="4"/>
      <c r="E13" s="4"/>
      <c r="F13" s="4"/>
      <c r="G13" s="4"/>
      <c r="H13" s="4"/>
      <c r="I13" s="4"/>
    </row>
    <row r="14" ht="28" customHeight="1" spans="1:9">
      <c r="A14" s="5" t="s">
        <v>2</v>
      </c>
      <c r="B14" s="5" t="s">
        <v>3</v>
      </c>
      <c r="C14" s="5" t="s">
        <v>192</v>
      </c>
      <c r="D14" s="5" t="s">
        <v>193</v>
      </c>
      <c r="E14" s="5" t="s">
        <v>194</v>
      </c>
      <c r="F14" s="5" t="s">
        <v>195</v>
      </c>
      <c r="G14" s="5" t="s">
        <v>196</v>
      </c>
      <c r="H14" s="5" t="s">
        <v>197</v>
      </c>
      <c r="I14" s="5" t="s">
        <v>122</v>
      </c>
    </row>
    <row r="15" ht="22" customHeight="1" spans="1:9">
      <c r="A15" s="11">
        <v>1</v>
      </c>
      <c r="B15" s="12" t="s">
        <v>18</v>
      </c>
      <c r="C15" s="11" t="s">
        <v>198</v>
      </c>
      <c r="D15" s="11" t="s">
        <v>199</v>
      </c>
      <c r="E15" s="11" t="s">
        <v>200</v>
      </c>
      <c r="F15" s="11" t="s">
        <v>201</v>
      </c>
      <c r="G15" s="11" t="s">
        <v>202</v>
      </c>
      <c r="H15" s="11" t="s">
        <v>203</v>
      </c>
      <c r="I15" s="13" t="s">
        <v>204</v>
      </c>
    </row>
    <row r="16" ht="22" customHeight="1" spans="1:9">
      <c r="A16" s="11">
        <v>2</v>
      </c>
      <c r="B16" s="12" t="s">
        <v>29</v>
      </c>
      <c r="C16" s="11" t="s">
        <v>205</v>
      </c>
      <c r="D16" s="11" t="s">
        <v>205</v>
      </c>
      <c r="E16" s="11" t="s">
        <v>206</v>
      </c>
      <c r="F16" s="11" t="s">
        <v>207</v>
      </c>
      <c r="G16" s="11" t="s">
        <v>208</v>
      </c>
      <c r="H16" s="11" t="s">
        <v>209</v>
      </c>
      <c r="I16" s="13" t="s">
        <v>210</v>
      </c>
    </row>
    <row r="17" ht="22" customHeight="1" spans="1:9">
      <c r="A17" s="11">
        <v>3</v>
      </c>
      <c r="B17" s="12" t="s">
        <v>40</v>
      </c>
      <c r="C17" s="11" t="s">
        <v>211</v>
      </c>
      <c r="D17" s="11" t="s">
        <v>212</v>
      </c>
      <c r="E17" s="11" t="s">
        <v>213</v>
      </c>
      <c r="F17" s="11" t="s">
        <v>214</v>
      </c>
      <c r="G17" s="11" t="s">
        <v>215</v>
      </c>
      <c r="H17" s="11" t="s">
        <v>216</v>
      </c>
      <c r="I17" s="13" t="s">
        <v>217</v>
      </c>
    </row>
    <row r="18" ht="22" customHeight="1" spans="1:9">
      <c r="A18" s="11">
        <v>4</v>
      </c>
      <c r="B18" s="12" t="s">
        <v>51</v>
      </c>
      <c r="C18" s="11" t="s">
        <v>205</v>
      </c>
      <c r="D18" s="11" t="s">
        <v>205</v>
      </c>
      <c r="E18" s="11" t="s">
        <v>206</v>
      </c>
      <c r="F18" s="11" t="s">
        <v>207</v>
      </c>
      <c r="G18" s="11" t="s">
        <v>208</v>
      </c>
      <c r="H18" s="11" t="s">
        <v>209</v>
      </c>
      <c r="I18" s="13" t="s">
        <v>218</v>
      </c>
    </row>
    <row r="19" ht="22" customHeight="1" spans="1:9">
      <c r="A19" s="11">
        <v>5</v>
      </c>
      <c r="B19" s="12" t="s">
        <v>61</v>
      </c>
      <c r="C19" s="11" t="s">
        <v>219</v>
      </c>
      <c r="D19" s="11" t="s">
        <v>220</v>
      </c>
      <c r="E19" s="11" t="s">
        <v>221</v>
      </c>
      <c r="F19" s="11" t="s">
        <v>222</v>
      </c>
      <c r="G19" s="11" t="s">
        <v>223</v>
      </c>
      <c r="H19" s="11" t="s">
        <v>224</v>
      </c>
      <c r="I19" s="13" t="s">
        <v>225</v>
      </c>
    </row>
    <row r="20" ht="22" customHeight="1" spans="1:9">
      <c r="A20" s="11">
        <v>6</v>
      </c>
      <c r="B20" s="12" t="s">
        <v>70</v>
      </c>
      <c r="C20" s="11" t="s">
        <v>205</v>
      </c>
      <c r="D20" s="11" t="s">
        <v>205</v>
      </c>
      <c r="E20" s="11" t="s">
        <v>206</v>
      </c>
      <c r="F20" s="11" t="s">
        <v>207</v>
      </c>
      <c r="G20" s="11" t="s">
        <v>208</v>
      </c>
      <c r="H20" s="11" t="s">
        <v>209</v>
      </c>
      <c r="I20" s="13" t="s">
        <v>226</v>
      </c>
    </row>
    <row r="21" ht="22" customHeight="1" spans="1:9">
      <c r="A21" s="11">
        <v>7</v>
      </c>
      <c r="B21" s="12" t="s">
        <v>76</v>
      </c>
      <c r="C21" s="11" t="s">
        <v>220</v>
      </c>
      <c r="D21" s="11" t="s">
        <v>205</v>
      </c>
      <c r="E21" s="11" t="s">
        <v>227</v>
      </c>
      <c r="F21" s="11" t="s">
        <v>207</v>
      </c>
      <c r="G21" s="11" t="s">
        <v>228</v>
      </c>
      <c r="H21" s="11" t="s">
        <v>229</v>
      </c>
      <c r="I21" s="13" t="s">
        <v>230</v>
      </c>
    </row>
    <row r="22" ht="22" customHeight="1" spans="1:9">
      <c r="A22" s="11">
        <v>8</v>
      </c>
      <c r="B22" s="12" t="s">
        <v>83</v>
      </c>
      <c r="C22" s="11" t="s">
        <v>231</v>
      </c>
      <c r="D22" s="11" t="s">
        <v>232</v>
      </c>
      <c r="E22" s="11" t="s">
        <v>233</v>
      </c>
      <c r="F22" s="11" t="s">
        <v>234</v>
      </c>
      <c r="G22" s="11" t="s">
        <v>235</v>
      </c>
      <c r="H22" s="11" t="s">
        <v>236</v>
      </c>
      <c r="I22" s="13" t="s">
        <v>237</v>
      </c>
    </row>
    <row r="23" ht="22" customHeight="1" spans="1:9">
      <c r="A23" s="11">
        <v>9</v>
      </c>
      <c r="B23" s="12" t="s">
        <v>88</v>
      </c>
      <c r="C23" s="11" t="s">
        <v>219</v>
      </c>
      <c r="D23" s="11" t="s">
        <v>238</v>
      </c>
      <c r="E23" s="11" t="s">
        <v>221</v>
      </c>
      <c r="F23" s="11" t="s">
        <v>239</v>
      </c>
      <c r="G23" s="11" t="s">
        <v>223</v>
      </c>
      <c r="H23" s="11" t="s">
        <v>240</v>
      </c>
      <c r="I23" s="13" t="s">
        <v>241</v>
      </c>
    </row>
    <row r="24" ht="22" customHeight="1" spans="1:9">
      <c r="A24" s="11">
        <v>10</v>
      </c>
      <c r="B24" s="12" t="s">
        <v>95</v>
      </c>
      <c r="C24" s="11" t="s">
        <v>242</v>
      </c>
      <c r="D24" s="11" t="s">
        <v>205</v>
      </c>
      <c r="E24" s="11" t="s">
        <v>243</v>
      </c>
      <c r="F24" s="11" t="s">
        <v>207</v>
      </c>
      <c r="G24" s="11" t="s">
        <v>244</v>
      </c>
      <c r="H24" s="11" t="s">
        <v>245</v>
      </c>
      <c r="I24" s="13" t="s">
        <v>246</v>
      </c>
    </row>
    <row r="25" ht="22" customHeight="1" spans="1:9">
      <c r="A25" s="11">
        <v>11</v>
      </c>
      <c r="B25" s="12" t="s">
        <v>104</v>
      </c>
      <c r="C25" s="11" t="s">
        <v>247</v>
      </c>
      <c r="D25" s="11" t="s">
        <v>238</v>
      </c>
      <c r="E25" s="11" t="s">
        <v>248</v>
      </c>
      <c r="F25" s="11" t="s">
        <v>239</v>
      </c>
      <c r="G25" s="11" t="s">
        <v>249</v>
      </c>
      <c r="H25" s="11" t="s">
        <v>250</v>
      </c>
      <c r="I25" s="13" t="s">
        <v>251</v>
      </c>
    </row>
    <row r="26" ht="50" customHeight="1" spans="1:9">
      <c r="A26" s="14" t="s">
        <v>114</v>
      </c>
      <c r="B26" s="14" t="s">
        <v>252</v>
      </c>
      <c r="C26" s="14" t="s">
        <v>253</v>
      </c>
      <c r="D26" s="14" t="s">
        <v>32</v>
      </c>
      <c r="E26" s="14" t="s">
        <v>254</v>
      </c>
      <c r="F26" s="14" t="s">
        <v>255</v>
      </c>
      <c r="G26" s="14" t="s">
        <v>256</v>
      </c>
      <c r="H26" s="14" t="s">
        <v>257</v>
      </c>
      <c r="I26" s="15" t="s">
        <v>258</v>
      </c>
    </row>
  </sheetData>
  <mergeCells count="9">
    <mergeCell ref="A1:I1"/>
    <mergeCell ref="A2:I2"/>
    <mergeCell ref="A4:I4"/>
    <mergeCell ref="D6:I6"/>
    <mergeCell ref="D7:I7"/>
    <mergeCell ref="D8:I8"/>
    <mergeCell ref="D9:I9"/>
    <mergeCell ref="D10:I10"/>
    <mergeCell ref="A13:I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分系统评估明细</vt:lpstr>
      <vt:lpstr>工作量构成模型</vt:lpstr>
      <vt:lpstr>云资源成本估算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</cp:lastModifiedBy>
  <dcterms:created xsi:type="dcterms:W3CDTF">2026-08-26T11:01:00Z</dcterms:created>
  <dcterms:modified xsi:type="dcterms:W3CDTF">2026-08-26T14:44:57Z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CE3EA3E73EC302CA81858E6AA81F6F8C_42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